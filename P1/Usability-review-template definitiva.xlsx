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uben\Documents\GitHub\DIU\UX_CaseStudy\P1\"/>
    </mc:Choice>
  </mc:AlternateContent>
  <xr:revisionPtr revIDLastSave="0" documentId="8_{2E78DDB5-7185-428F-AABD-0C71FC97DE47}" xr6:coauthVersionLast="47" xr6:coauthVersionMax="47" xr10:uidLastSave="{00000000-0000-0000-0000-000000000000}"/>
  <bookViews>
    <workbookView xWindow="-108" yWindow="-108" windowWidth="23256" windowHeight="12456" xr2:uid="{00000000-000D-0000-FFFF-FFFF00000000}"/>
  </bookViews>
  <sheets>
    <sheet name="Valoración Usabilidad" sheetId="1" r:id="rId1"/>
    <sheet name="Usability scores" sheetId="2" r:id="rId2"/>
    <sheet name="Usability guidelines" sheetId="3" r:id="rId3"/>
    <sheet name="Rating rang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F6" i="4"/>
  <c r="D6" i="4"/>
  <c r="F5" i="4"/>
  <c r="D5" i="4"/>
  <c r="F4" i="4"/>
  <c r="D4" i="4"/>
  <c r="D3" i="4"/>
  <c r="B2" i="4"/>
  <c r="A6" i="3"/>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5" i="3"/>
  <c r="A123" i="2"/>
  <c r="A122" i="2"/>
  <c r="A121" i="2"/>
  <c r="A120" i="2"/>
  <c r="A119" i="2"/>
  <c r="K117" i="2"/>
  <c r="L105" i="2" s="1"/>
  <c r="M115" i="2"/>
  <c r="O115" i="2" s="1"/>
  <c r="G115" i="2"/>
  <c r="F115" i="2"/>
  <c r="M113" i="2"/>
  <c r="O113" i="2" s="1"/>
  <c r="L113" i="2"/>
  <c r="G113" i="2"/>
  <c r="F113" i="2"/>
  <c r="M111" i="2"/>
  <c r="G111" i="2"/>
  <c r="F111" i="2"/>
  <c r="N107" i="2"/>
  <c r="M107" i="2"/>
  <c r="O107" i="2" s="1"/>
  <c r="L107" i="2"/>
  <c r="G107" i="2"/>
  <c r="F107" i="2"/>
  <c r="M105" i="2"/>
  <c r="O105" i="2" s="1"/>
  <c r="G105" i="2"/>
  <c r="F105" i="2"/>
  <c r="M103" i="2"/>
  <c r="O103" i="2" s="1"/>
  <c r="L103" i="2"/>
  <c r="G103" i="2"/>
  <c r="F103" i="2"/>
  <c r="O101" i="2"/>
  <c r="M101" i="2"/>
  <c r="G101" i="2"/>
  <c r="F101" i="2"/>
  <c r="M97" i="2"/>
  <c r="O97" i="2" s="1"/>
  <c r="G97" i="2"/>
  <c r="F97" i="2"/>
  <c r="M95" i="2"/>
  <c r="N95" i="2" s="1"/>
  <c r="L95" i="2"/>
  <c r="G95" i="2"/>
  <c r="F95" i="2"/>
  <c r="M93" i="2"/>
  <c r="O93" i="2" s="1"/>
  <c r="G93" i="2"/>
  <c r="F93" i="2"/>
  <c r="O91" i="2"/>
  <c r="M91" i="2"/>
  <c r="N91" i="2" s="1"/>
  <c r="L91" i="2"/>
  <c r="G91" i="2"/>
  <c r="F91" i="2"/>
  <c r="M89" i="2"/>
  <c r="O89" i="2" s="1"/>
  <c r="G89" i="2"/>
  <c r="F89" i="2"/>
  <c r="M85" i="2"/>
  <c r="O85" i="2" s="1"/>
  <c r="G85" i="2"/>
  <c r="F85" i="2"/>
  <c r="O83" i="2"/>
  <c r="M83" i="2"/>
  <c r="G83" i="2"/>
  <c r="F83" i="2"/>
  <c r="M81" i="2"/>
  <c r="O81" i="2" s="1"/>
  <c r="G81" i="2"/>
  <c r="F81" i="2"/>
  <c r="O79" i="2"/>
  <c r="M79" i="2"/>
  <c r="G79" i="2"/>
  <c r="F79" i="2"/>
  <c r="M75" i="2"/>
  <c r="O75" i="2" s="1"/>
  <c r="G75" i="2"/>
  <c r="F75" i="2"/>
  <c r="M73" i="2"/>
  <c r="O73" i="2" s="1"/>
  <c r="L73" i="2"/>
  <c r="G73" i="2"/>
  <c r="F73" i="2"/>
  <c r="O71" i="2"/>
  <c r="M71" i="2"/>
  <c r="G71" i="2"/>
  <c r="F71" i="2"/>
  <c r="N69" i="2"/>
  <c r="M69" i="2"/>
  <c r="O69" i="2" s="1"/>
  <c r="L69" i="2"/>
  <c r="G69" i="2"/>
  <c r="F69" i="2"/>
  <c r="M67" i="2"/>
  <c r="O67" i="2" s="1"/>
  <c r="L67" i="2"/>
  <c r="G67" i="2"/>
  <c r="F67" i="2"/>
  <c r="O63" i="2"/>
  <c r="M63" i="2"/>
  <c r="L63" i="2"/>
  <c r="N63" i="2" s="1"/>
  <c r="G63" i="2"/>
  <c r="F63" i="2"/>
  <c r="O61" i="2"/>
  <c r="M61" i="2"/>
  <c r="G61" i="2"/>
  <c r="F61" i="2"/>
  <c r="M59" i="2"/>
  <c r="O59" i="2" s="1"/>
  <c r="L59" i="2"/>
  <c r="G59" i="2"/>
  <c r="F59" i="2"/>
  <c r="M55" i="2"/>
  <c r="N55" i="2" s="1"/>
  <c r="L55" i="2"/>
  <c r="G55" i="2"/>
  <c r="F55" i="2"/>
  <c r="O53" i="2"/>
  <c r="M53" i="2"/>
  <c r="G53" i="2"/>
  <c r="F53" i="2"/>
  <c r="O51" i="2"/>
  <c r="M51" i="2"/>
  <c r="N51" i="2" s="1"/>
  <c r="L51" i="2"/>
  <c r="G51" i="2"/>
  <c r="F51" i="2"/>
  <c r="M49" i="2"/>
  <c r="O49" i="2" s="1"/>
  <c r="G49" i="2"/>
  <c r="F49" i="2"/>
  <c r="M45" i="2"/>
  <c r="O45" i="2" s="1"/>
  <c r="G45" i="2"/>
  <c r="F45" i="2"/>
  <c r="O43" i="2"/>
  <c r="M43" i="2"/>
  <c r="G43" i="2"/>
  <c r="F43" i="2"/>
  <c r="M41" i="2"/>
  <c r="O41" i="2" s="1"/>
  <c r="G41" i="2"/>
  <c r="F41" i="2"/>
  <c r="O39" i="2"/>
  <c r="M39" i="2"/>
  <c r="G39" i="2"/>
  <c r="F39" i="2"/>
  <c r="M37" i="2"/>
  <c r="O37" i="2" s="1"/>
  <c r="G37" i="2"/>
  <c r="F37" i="2"/>
  <c r="M35" i="2"/>
  <c r="O35" i="2" s="1"/>
  <c r="L35" i="2"/>
  <c r="G35" i="2"/>
  <c r="F35" i="2"/>
  <c r="O33" i="2"/>
  <c r="M33" i="2"/>
  <c r="O31" i="2"/>
  <c r="M31" i="2"/>
  <c r="L31" i="2"/>
  <c r="N31" i="2" s="1"/>
  <c r="G31" i="2"/>
  <c r="F31" i="2"/>
  <c r="O29" i="2"/>
  <c r="M29" i="2"/>
  <c r="G29" i="2"/>
  <c r="F29" i="2"/>
  <c r="M25" i="2"/>
  <c r="N25" i="2" s="1"/>
  <c r="L25" i="2"/>
  <c r="O23" i="2"/>
  <c r="M23" i="2"/>
  <c r="N23" i="2" s="1"/>
  <c r="L23" i="2"/>
  <c r="G23" i="2"/>
  <c r="F23" i="2"/>
  <c r="M21" i="2"/>
  <c r="O21" i="2" s="1"/>
  <c r="G21" i="2"/>
  <c r="F21" i="2"/>
  <c r="M17" i="2"/>
  <c r="O17" i="2" s="1"/>
  <c r="G17" i="2"/>
  <c r="F17" i="2"/>
  <c r="O15" i="2"/>
  <c r="M15" i="2"/>
  <c r="G15" i="2"/>
  <c r="F15" i="2"/>
  <c r="M13" i="2"/>
  <c r="O13" i="2" s="1"/>
  <c r="G13" i="2"/>
  <c r="F13" i="2"/>
  <c r="A13" i="2"/>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O11" i="2"/>
  <c r="M11" i="2"/>
  <c r="G11" i="2"/>
  <c r="F11" i="2"/>
  <c r="A11" i="2"/>
  <c r="M9" i="2"/>
  <c r="O9" i="2" s="1"/>
  <c r="L9" i="2"/>
  <c r="G9" i="2"/>
  <c r="F9" i="2"/>
  <c r="A123" i="1"/>
  <c r="A122" i="1"/>
  <c r="A121" i="1"/>
  <c r="A120" i="1"/>
  <c r="A119" i="1"/>
  <c r="K117" i="1"/>
  <c r="L83" i="1" s="1"/>
  <c r="M115" i="1"/>
  <c r="O115" i="1" s="1"/>
  <c r="G115" i="1"/>
  <c r="F115" i="1"/>
  <c r="M113" i="1"/>
  <c r="O113" i="1" s="1"/>
  <c r="G113" i="1"/>
  <c r="F113" i="1"/>
  <c r="M111" i="1"/>
  <c r="O111" i="1" s="1"/>
  <c r="G111" i="1"/>
  <c r="F111" i="1"/>
  <c r="M107" i="1"/>
  <c r="O107" i="1" s="1"/>
  <c r="G107" i="1"/>
  <c r="F107" i="1"/>
  <c r="M105" i="1"/>
  <c r="O105" i="1" s="1"/>
  <c r="G105" i="1"/>
  <c r="F105" i="1"/>
  <c r="M103" i="1"/>
  <c r="O103" i="1" s="1"/>
  <c r="G103" i="1"/>
  <c r="F103" i="1"/>
  <c r="M101" i="1"/>
  <c r="O101" i="1" s="1"/>
  <c r="G101" i="1"/>
  <c r="F101" i="1"/>
  <c r="M97" i="1"/>
  <c r="O97" i="1" s="1"/>
  <c r="M95" i="1"/>
  <c r="O95" i="1" s="1"/>
  <c r="G95" i="1"/>
  <c r="F95" i="1"/>
  <c r="M93" i="1"/>
  <c r="G93" i="1"/>
  <c r="F93" i="1"/>
  <c r="M91" i="1"/>
  <c r="G91" i="1"/>
  <c r="F91" i="1"/>
  <c r="M89" i="1"/>
  <c r="O89" i="1" s="1"/>
  <c r="G89" i="1"/>
  <c r="F89" i="1"/>
  <c r="M85" i="1"/>
  <c r="O85" i="1" s="1"/>
  <c r="G85" i="1"/>
  <c r="F85" i="1"/>
  <c r="M83" i="1"/>
  <c r="O83" i="1" s="1"/>
  <c r="G83" i="1"/>
  <c r="F83" i="1"/>
  <c r="M81" i="1"/>
  <c r="O81" i="1" s="1"/>
  <c r="G81" i="1"/>
  <c r="F81" i="1"/>
  <c r="M79" i="1"/>
  <c r="G79" i="1"/>
  <c r="F79" i="1"/>
  <c r="M75" i="1"/>
  <c r="O75" i="1" s="1"/>
  <c r="G75" i="1"/>
  <c r="F75" i="1"/>
  <c r="M73" i="1"/>
  <c r="O73" i="1" s="1"/>
  <c r="G73" i="1"/>
  <c r="F73" i="1"/>
  <c r="M71" i="1"/>
  <c r="O71" i="1" s="1"/>
  <c r="G71" i="1"/>
  <c r="F71" i="1"/>
  <c r="M69" i="1"/>
  <c r="O69" i="1" s="1"/>
  <c r="G69" i="1"/>
  <c r="F69" i="1"/>
  <c r="M67" i="1"/>
  <c r="O67" i="1" s="1"/>
  <c r="G67" i="1"/>
  <c r="F67" i="1"/>
  <c r="M63" i="1"/>
  <c r="O63" i="1" s="1"/>
  <c r="G63" i="1"/>
  <c r="F63" i="1"/>
  <c r="M61" i="1"/>
  <c r="O61" i="1" s="1"/>
  <c r="G61" i="1"/>
  <c r="F61" i="1"/>
  <c r="M59" i="1"/>
  <c r="O59" i="1" s="1"/>
  <c r="G59" i="1"/>
  <c r="F59" i="1"/>
  <c r="M55" i="1"/>
  <c r="O55" i="1" s="1"/>
  <c r="G55" i="1"/>
  <c r="F55" i="1"/>
  <c r="M53" i="1"/>
  <c r="G53" i="1"/>
  <c r="F53" i="1"/>
  <c r="M51" i="1"/>
  <c r="G51" i="1"/>
  <c r="F51" i="1"/>
  <c r="M49" i="1"/>
  <c r="O49" i="1" s="1"/>
  <c r="G49" i="1"/>
  <c r="F49" i="1"/>
  <c r="M45" i="1"/>
  <c r="O45" i="1" s="1"/>
  <c r="G45" i="1"/>
  <c r="F45" i="1"/>
  <c r="M43" i="1"/>
  <c r="O43" i="1" s="1"/>
  <c r="G43" i="1"/>
  <c r="F43" i="1"/>
  <c r="M41" i="1"/>
  <c r="O41" i="1" s="1"/>
  <c r="G41" i="1"/>
  <c r="F41" i="1"/>
  <c r="M39" i="1"/>
  <c r="G39" i="1"/>
  <c r="F39" i="1"/>
  <c r="M37" i="1"/>
  <c r="O37" i="1" s="1"/>
  <c r="G37" i="1"/>
  <c r="F37" i="1"/>
  <c r="M35" i="1"/>
  <c r="O35" i="1" s="1"/>
  <c r="G35" i="1"/>
  <c r="F35" i="1"/>
  <c r="M33" i="1"/>
  <c r="O33" i="1" s="1"/>
  <c r="M31" i="1"/>
  <c r="O31" i="1" s="1"/>
  <c r="G31" i="1"/>
  <c r="F31" i="1"/>
  <c r="M29" i="1"/>
  <c r="O29" i="1" s="1"/>
  <c r="G29" i="1"/>
  <c r="F29" i="1"/>
  <c r="M25" i="1"/>
  <c r="O25" i="1" s="1"/>
  <c r="M23" i="1"/>
  <c r="O23" i="1" s="1"/>
  <c r="G23" i="1"/>
  <c r="F23" i="1"/>
  <c r="M21" i="1"/>
  <c r="O21" i="1" s="1"/>
  <c r="G21" i="1"/>
  <c r="F21" i="1"/>
  <c r="M17" i="1"/>
  <c r="O17" i="1" s="1"/>
  <c r="G17" i="1"/>
  <c r="F17" i="1"/>
  <c r="M15" i="1"/>
  <c r="O15" i="1" s="1"/>
  <c r="G15" i="1"/>
  <c r="F15" i="1"/>
  <c r="M13" i="1"/>
  <c r="O13" i="1" s="1"/>
  <c r="G13" i="1"/>
  <c r="F13" i="1"/>
  <c r="A13" i="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11" i="1"/>
  <c r="G11" i="1"/>
  <c r="F11" i="1"/>
  <c r="A11" i="1"/>
  <c r="M9" i="1"/>
  <c r="G9" i="1"/>
  <c r="F9" i="1"/>
  <c r="N111" i="2" l="1"/>
  <c r="N83" i="1"/>
  <c r="N91" i="1"/>
  <c r="N53" i="2"/>
  <c r="L59" i="1"/>
  <c r="N59" i="1" s="1"/>
  <c r="L29" i="1"/>
  <c r="N29" i="1" s="1"/>
  <c r="L61" i="1"/>
  <c r="N61" i="1" s="1"/>
  <c r="L101" i="1"/>
  <c r="N101" i="1" s="1"/>
  <c r="L11" i="1"/>
  <c r="N11" i="1" s="1"/>
  <c r="L39" i="1"/>
  <c r="N39" i="1" s="1"/>
  <c r="L79" i="1"/>
  <c r="N79" i="1" s="1"/>
  <c r="L15" i="2"/>
  <c r="N15" i="2" s="1"/>
  <c r="N21" i="2"/>
  <c r="L43" i="2"/>
  <c r="N43" i="2" s="1"/>
  <c r="N49" i="2"/>
  <c r="L83" i="2"/>
  <c r="N83" i="2" s="1"/>
  <c r="O111" i="2"/>
  <c r="L29" i="2"/>
  <c r="N29" i="2" s="1"/>
  <c r="L61" i="2"/>
  <c r="N61" i="2" s="1"/>
  <c r="N67" i="2"/>
  <c r="L101" i="2"/>
  <c r="N101" i="2" s="1"/>
  <c r="N105" i="2"/>
  <c r="L11" i="2"/>
  <c r="N11" i="2" s="1"/>
  <c r="L39" i="2"/>
  <c r="N39" i="2" s="1"/>
  <c r="L79" i="2"/>
  <c r="N79" i="2" s="1"/>
  <c r="L55" i="1"/>
  <c r="N55" i="1" s="1"/>
  <c r="L113" i="1"/>
  <c r="N113" i="1" s="1"/>
  <c r="L23" i="1"/>
  <c r="N23" i="1" s="1"/>
  <c r="O39" i="1"/>
  <c r="L51" i="1"/>
  <c r="N51" i="1" s="1"/>
  <c r="O79" i="1"/>
  <c r="L91" i="1"/>
  <c r="L85" i="1"/>
  <c r="N85" i="1" s="1"/>
  <c r="O51" i="1"/>
  <c r="O55" i="2"/>
  <c r="N73" i="2"/>
  <c r="O95" i="2"/>
  <c r="N113" i="2"/>
  <c r="L63" i="1"/>
  <c r="N63" i="1" s="1"/>
  <c r="O91" i="1"/>
  <c r="L103" i="1"/>
  <c r="N103" i="1" s="1"/>
  <c r="N107" i="1"/>
  <c r="N35" i="2"/>
  <c r="L13" i="1"/>
  <c r="L41" i="1"/>
  <c r="N41" i="1" s="1"/>
  <c r="L81" i="1"/>
  <c r="N81" i="1" s="1"/>
  <c r="L17" i="2"/>
  <c r="L45" i="2"/>
  <c r="L85" i="2"/>
  <c r="L35" i="1"/>
  <c r="N35" i="1" s="1"/>
  <c r="L73" i="1"/>
  <c r="N73" i="1" s="1"/>
  <c r="L97" i="1"/>
  <c r="N97" i="1" s="1"/>
  <c r="L31" i="1"/>
  <c r="N31" i="1" s="1"/>
  <c r="L25" i="1"/>
  <c r="N25" i="1" s="1"/>
  <c r="L9" i="1"/>
  <c r="N9" i="1" s="1"/>
  <c r="N13" i="1"/>
  <c r="L37" i="1"/>
  <c r="N37" i="1" s="1"/>
  <c r="L75" i="1"/>
  <c r="N75" i="1" s="1"/>
  <c r="L115" i="1"/>
  <c r="N115" i="1" s="1"/>
  <c r="L13" i="2"/>
  <c r="N13" i="2" s="1"/>
  <c r="N17" i="2"/>
  <c r="L41" i="2"/>
  <c r="N41" i="2" s="1"/>
  <c r="N45" i="2"/>
  <c r="L81" i="2"/>
  <c r="N85" i="2"/>
  <c r="L95" i="1"/>
  <c r="N95" i="1" s="1"/>
  <c r="L97" i="2"/>
  <c r="N97" i="2" s="1"/>
  <c r="N103" i="2"/>
  <c r="L69" i="1"/>
  <c r="N69" i="1" s="1"/>
  <c r="L53" i="1"/>
  <c r="N53" i="1" s="1"/>
  <c r="L111" i="1"/>
  <c r="N111" i="1" s="1"/>
  <c r="L37" i="2"/>
  <c r="L75" i="2"/>
  <c r="N81" i="2"/>
  <c r="L115" i="2"/>
  <c r="N115" i="2" s="1"/>
  <c r="L17" i="1"/>
  <c r="N17" i="1" s="1"/>
  <c r="L93" i="1"/>
  <c r="N93" i="1" s="1"/>
  <c r="L21" i="1"/>
  <c r="N21" i="1" s="1"/>
  <c r="L49" i="1"/>
  <c r="N49" i="1" s="1"/>
  <c r="L89" i="1"/>
  <c r="N89" i="1" s="1"/>
  <c r="L53" i="2"/>
  <c r="N59" i="2"/>
  <c r="O53" i="1"/>
  <c r="L67" i="1"/>
  <c r="N67" i="1" s="1"/>
  <c r="N71" i="1"/>
  <c r="O93" i="1"/>
  <c r="L105" i="1"/>
  <c r="N105" i="1" s="1"/>
  <c r="N9" i="2"/>
  <c r="O25" i="2"/>
  <c r="O117" i="2" s="1"/>
  <c r="L33" i="2"/>
  <c r="N33" i="2" s="1"/>
  <c r="N37" i="2"/>
  <c r="L71" i="2"/>
  <c r="N71" i="2" s="1"/>
  <c r="N75" i="2"/>
  <c r="L111" i="2"/>
  <c r="L107" i="1"/>
  <c r="L45" i="1"/>
  <c r="N45" i="1" s="1"/>
  <c r="L33" i="1"/>
  <c r="N33" i="1" s="1"/>
  <c r="L71" i="1"/>
  <c r="L93" i="2"/>
  <c r="L15" i="1"/>
  <c r="N15" i="1" s="1"/>
  <c r="L43" i="1"/>
  <c r="N43" i="1" s="1"/>
  <c r="L21" i="2"/>
  <c r="L49" i="2"/>
  <c r="L89" i="2"/>
  <c r="N89" i="2" s="1"/>
  <c r="N93" i="2"/>
  <c r="O11" i="1" l="1"/>
  <c r="O9" i="1"/>
  <c r="N117" i="1"/>
  <c r="N117" i="2"/>
  <c r="D117" i="2" s="1"/>
  <c r="O117" i="1" l="1"/>
  <c r="D117" i="1" s="1"/>
  <c r="J117" i="2"/>
  <c r="I117" i="2" s="1"/>
  <c r="H117" i="2"/>
  <c r="H117" i="1" l="1"/>
  <c r="J117" i="1"/>
  <c r="I1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rPr>
          <t>by MOANA P1_A2_10 2018/19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100-00001B000000}">
      <text>
        <r>
          <rPr>
            <sz val="10"/>
            <color rgb="FF000000"/>
            <rFont val="Arial"/>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shapeId="0" xr:uid="{00000000-0006-0000-0100-00000B000000}">
      <text>
        <r>
          <rPr>
            <sz val="10"/>
            <color rgb="FF000000"/>
            <rFont val="Arial"/>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shapeId="0" xr:uid="{00000000-0006-0000-0100-000016000000}">
      <text>
        <r>
          <rPr>
            <sz val="10"/>
            <color rgb="FF000000"/>
            <rFont val="Arial"/>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shapeId="0" xr:uid="{00000000-0006-0000-0100-000013000000}">
      <text>
        <r>
          <rPr>
            <sz val="10"/>
            <color rgb="FF000000"/>
            <rFont val="Arial"/>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shapeId="0" xr:uid="{00000000-0006-0000-0100-000026000000}">
      <text>
        <r>
          <rPr>
            <sz val="10"/>
            <color rgb="FF000000"/>
            <rFont val="Arial"/>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shapeId="0" xr:uid="{00000000-0006-0000-0100-000004000000}">
      <text>
        <r>
          <rPr>
            <sz val="10"/>
            <color rgb="FF000000"/>
            <rFont val="Arial"/>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shapeId="0" xr:uid="{00000000-0006-0000-0100-00002A000000}">
      <text>
        <r>
          <rPr>
            <sz val="10"/>
            <color rgb="FF000000"/>
            <rFont val="Arial"/>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shapeId="0" xr:uid="{00000000-0006-0000-0100-00002B000000}">
      <text>
        <r>
          <rPr>
            <sz val="10"/>
            <color rgb="FF000000"/>
            <rFont val="Arial"/>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shapeId="0" xr:uid="{00000000-0006-0000-0100-000001000000}">
      <text>
        <r>
          <rPr>
            <sz val="10"/>
            <color rgb="FF000000"/>
            <rFont val="Arial"/>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shapeId="0" xr:uid="{00000000-0006-0000-0100-000024000000}">
      <text>
        <r>
          <rPr>
            <sz val="10"/>
            <color rgb="FF000000"/>
            <rFont val="Arial"/>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shapeId="0" xr:uid="{00000000-0006-0000-0100-000018000000}">
      <text>
        <r>
          <rPr>
            <sz val="10"/>
            <color rgb="FF000000"/>
            <rFont val="Arial"/>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shapeId="0" xr:uid="{00000000-0006-0000-0100-000009000000}">
      <text>
        <r>
          <rPr>
            <sz val="10"/>
            <color rgb="FF000000"/>
            <rFont val="Arial"/>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shapeId="0" xr:uid="{00000000-0006-0000-0100-000029000000}">
      <text>
        <r>
          <rPr>
            <sz val="10"/>
            <color rgb="FF000000"/>
            <rFont val="Arial"/>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shapeId="0" xr:uid="{00000000-0006-0000-0100-000028000000}">
      <text>
        <r>
          <rPr>
            <sz val="10"/>
            <color rgb="FF000000"/>
            <rFont val="Arial"/>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shapeId="0" xr:uid="{00000000-0006-0000-0100-000006000000}">
      <text>
        <r>
          <rPr>
            <sz val="10"/>
            <color rgb="FF000000"/>
            <rFont val="Arial"/>
          </rPr>
          <t>======
ID#AAAACzJ2_gk
turnen    (2019-12-27 13:12:29)
The current location is clearly indicated (e.g. breadcrumb, highlighted menu item) (Low importance)
Users should always know where they are in the site or application.</t>
        </r>
      </text>
    </comment>
    <comment ref="B43" authorId="0" shapeId="0" xr:uid="{00000000-0006-0000-0100-000011000000}">
      <text>
        <r>
          <rPr>
            <sz val="10"/>
            <color rgb="FF000000"/>
            <rFont val="Arial"/>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shapeId="0" xr:uid="{00000000-0006-0000-0100-000019000000}">
      <text>
        <r>
          <rPr>
            <sz val="10"/>
            <color rgb="FF000000"/>
            <rFont val="Arial"/>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shapeId="0" xr:uid="{00000000-0006-0000-0100-000014000000}">
      <text>
        <r>
          <rPr>
            <sz val="10"/>
            <color rgb="FF000000"/>
            <rFont val="Arial"/>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shapeId="0" xr:uid="{00000000-0006-0000-0100-000003000000}">
      <text>
        <r>
          <rPr>
            <sz val="10"/>
            <color rgb="FF000000"/>
            <rFont val="Arial"/>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shapeId="0" xr:uid="{00000000-0006-0000-0100-00001F000000}">
      <text>
        <r>
          <rPr>
            <sz val="10"/>
            <color rgb="FF000000"/>
            <rFont val="Arial"/>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shapeId="0" xr:uid="{00000000-0006-0000-0100-000023000000}">
      <text>
        <r>
          <rPr>
            <sz val="10"/>
            <color rgb="FF000000"/>
            <rFont val="Arial"/>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shapeId="0" xr:uid="{00000000-0006-0000-0100-00000A000000}">
      <text>
        <r>
          <rPr>
            <sz val="10"/>
            <color rgb="FF000000"/>
            <rFont val="Arial"/>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shapeId="0" xr:uid="{00000000-0006-0000-0100-00001E000000}">
      <text>
        <r>
          <rPr>
            <sz val="10"/>
            <color rgb="FF000000"/>
            <rFont val="Arial"/>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shapeId="0" xr:uid="{00000000-0006-0000-0100-000015000000}">
      <text>
        <r>
          <rPr>
            <sz val="10"/>
            <color rgb="FF000000"/>
            <rFont val="Arial"/>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shapeId="0" xr:uid="{00000000-0006-0000-0100-000002000000}">
      <text>
        <r>
          <rPr>
            <sz val="10"/>
            <color rgb="FF000000"/>
            <rFont val="Arial"/>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shapeId="0" xr:uid="{00000000-0006-0000-0100-00000C000000}">
      <text>
        <r>
          <rPr>
            <sz val="10"/>
            <color rgb="FF000000"/>
            <rFont val="Arial"/>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shapeId="0" xr:uid="{00000000-0006-0000-0100-00000E000000}">
      <text>
        <r>
          <rPr>
            <sz val="10"/>
            <color rgb="FF000000"/>
            <rFont val="Arial"/>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shapeId="0" xr:uid="{00000000-0006-0000-0100-000010000000}">
      <text>
        <r>
          <rPr>
            <sz val="10"/>
            <color rgb="FF000000"/>
            <rFont val="Arial"/>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shapeId="0" xr:uid="{00000000-0006-0000-0100-000008000000}">
      <text>
        <r>
          <rPr>
            <sz val="10"/>
            <color rgb="FF000000"/>
            <rFont val="Arial"/>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shapeId="0" xr:uid="{00000000-0006-0000-0100-000027000000}">
      <text>
        <r>
          <rPr>
            <sz val="10"/>
            <color rgb="FF000000"/>
            <rFont val="Arial"/>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shapeId="0" xr:uid="{00000000-0006-0000-0100-000017000000}">
      <text>
        <r>
          <rPr>
            <sz val="10"/>
            <color rgb="FF000000"/>
            <rFont val="Arial"/>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shapeId="0" xr:uid="{00000000-0006-0000-0100-000007000000}">
      <text>
        <r>
          <rPr>
            <sz val="10"/>
            <color rgb="FF000000"/>
            <rFont val="Arial"/>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shapeId="0" xr:uid="{00000000-0006-0000-0100-00002D000000}">
      <text>
        <r>
          <rPr>
            <sz val="10"/>
            <color rgb="FF000000"/>
            <rFont val="Arial"/>
          </rPr>
          <t>======
ID#AAAACzJ2_eI
turnen    (2019-12-27 13:12:29)
Users are able to easily recover (i.e. not have to start again) from errors (Medium importance)
For example, users might be able to re-edit and resubmit a form or enter a different value.</t>
        </r>
      </text>
    </comment>
    <comment ref="B89" authorId="0" shapeId="0" xr:uid="{00000000-0006-0000-0100-00002C000000}">
      <text>
        <r>
          <rPr>
            <sz val="10"/>
            <color rgb="FF000000"/>
            <rFont val="Arial"/>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shapeId="0" xr:uid="{00000000-0006-0000-0100-000021000000}">
      <text>
        <r>
          <rPr>
            <sz val="10"/>
            <color rgb="FF000000"/>
            <rFont val="Arial"/>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shapeId="0" xr:uid="{00000000-0006-0000-0100-000020000000}">
      <text>
        <r>
          <rPr>
            <sz val="10"/>
            <color rgb="FF000000"/>
            <rFont val="Arial"/>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shapeId="0" xr:uid="{00000000-0006-0000-0100-000022000000}">
      <text>
        <r>
          <rPr>
            <sz val="10"/>
            <color rgb="FF000000"/>
            <rFont val="Arial"/>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shapeId="0" xr:uid="{00000000-0006-0000-0100-00001D000000}">
      <text>
        <r>
          <rPr>
            <sz val="10"/>
            <color rgb="FF000000"/>
            <rFont val="Arial"/>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shapeId="0" xr:uid="{00000000-0006-0000-0100-000005000000}">
      <text>
        <r>
          <rPr>
            <sz val="10"/>
            <color rgb="FF000000"/>
            <rFont val="Arial"/>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shapeId="0" xr:uid="{00000000-0006-0000-0100-00000D000000}">
      <text>
        <r>
          <rPr>
            <sz val="10"/>
            <color rgb="FF000000"/>
            <rFont val="Arial"/>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shapeId="0" xr:uid="{00000000-0006-0000-0100-000012000000}">
      <text>
        <r>
          <rPr>
            <sz val="10"/>
            <color rgb="FF000000"/>
            <rFont val="Arial"/>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shapeId="0" xr:uid="{00000000-0006-0000-0100-00001A000000}">
      <text>
        <r>
          <rPr>
            <sz val="10"/>
            <color rgb="FF000000"/>
            <rFont val="Arial"/>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shapeId="0" xr:uid="{00000000-0006-0000-0100-000025000000}">
      <text>
        <r>
          <rPr>
            <sz val="10"/>
            <color rgb="FF000000"/>
            <rFont val="Arial"/>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shapeId="0" xr:uid="{00000000-0006-0000-0100-00001C000000}">
      <text>
        <r>
          <rPr>
            <sz val="10"/>
            <color rgb="FF000000"/>
            <rFont val="Arial"/>
          </rPr>
          <t>======
ID#AAAACzJ2_fM
turnen    (2019-12-27 13:12:29)
Errors and reliability issues don't inhibit the user experience (High importance)
Sites and applications should be free of bugs and shouldn't have any broken links.</t>
        </r>
      </text>
    </comment>
    <comment ref="B115" authorId="0" shapeId="0" xr:uid="{00000000-0006-0000-0100-00000F000000}">
      <text>
        <r>
          <rPr>
            <sz val="10"/>
            <color rgb="FF000000"/>
            <rFont val="Arial"/>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<sst xmlns="http://schemas.openxmlformats.org/spreadsheetml/2006/main" count="405" uniqueCount="224">
  <si>
    <t>Usability guidelines</t>
  </si>
  <si>
    <t>Usability review</t>
  </si>
  <si>
    <t>Usability review (Español)</t>
  </si>
  <si>
    <t>Importance</t>
  </si>
  <si>
    <t>Enter score</t>
  </si>
  <si>
    <t>Features &amp; functionality</t>
  </si>
  <si>
    <t>Very poor</t>
  </si>
  <si>
    <r>
      <t>Features and functionality meet common user goals and objectives</t>
    </r>
    <r>
      <rPr>
        <sz val="10"/>
        <rFont val="Arial"/>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</si>
  <si>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</si>
  <si>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t>[Enter product name]</t>
  </si>
  <si>
    <t>Score</t>
  </si>
  <si>
    <t>Comments</t>
  </si>
  <si>
    <t>Poor</t>
  </si>
  <si>
    <r>
      <t>Features and functionality support users desired workflows</t>
    </r>
    <r>
      <rPr>
        <sz val="10"/>
        <rFont val="Arial"/>
      </rPr>
      <t xml:space="preserve">
The site or application should support or at least be compatible with the way that users wish to work. For example, users might want to be able to carry out bulk transactions or be able to save and return to their work. </t>
    </r>
  </si>
  <si>
    <t>Moderate</t>
  </si>
  <si>
    <r>
      <t>Frequently-used tasks are readily available (e.g. easily accessible from the homepage) and well supported</t>
    </r>
    <r>
      <rPr>
        <sz val="10"/>
        <rFont val="Arial"/>
      </rPr>
      <t xml:space="preserve">
For example short cuts and a login to retrieve details might be provided to speed up the completion of frequently carried out tasks.</t>
    </r>
  </si>
  <si>
    <t>High</t>
  </si>
  <si>
    <r>
      <t>Users are adequately supported according to their level of expertise</t>
    </r>
    <r>
      <rPr>
        <sz val="10"/>
        <rFont val="Arial"/>
      </rPr>
      <t xml:space="preserve">
For example, novice users are given help and instructions and features are progressively disclosed (e.g. advanced features not being shown by default).</t>
    </r>
  </si>
  <si>
    <t>Medium</t>
  </si>
  <si>
    <t>Hover over a guideline for more information, examples of good practice and importance to the overall user experience.</t>
  </si>
  <si>
    <r>
      <t>Calls to action (e.g. register, add to basket, submit) are clear, well labelled and appear clickable</t>
    </r>
    <r>
      <rPr>
        <sz val="10"/>
        <rFont val="Arial"/>
      </rPr>
      <t xml:space="preserve">
Possible actions should always be clear and the primary call to action (i.e. the most common or desirable user action) should stand out on the page or screen.</t>
    </r>
  </si>
  <si>
    <t>N/A = not applicable or can't be assessed</t>
  </si>
  <si>
    <t>Homepage / starting page</t>
  </si>
  <si>
    <t>Optional - Provide a short rational for the score, such as a description of the issues found; examples of good practice and the likely impact for users.</t>
  </si>
  <si>
    <t>Good</t>
  </si>
  <si>
    <t>Excellent</t>
  </si>
  <si>
    <r>
      <t>The Homepage / starting page provides a clear snapshot and overview of the content, features and functionality available</t>
    </r>
    <r>
      <rPr>
        <sz val="10"/>
        <rFont val="Arial"/>
      </rPr>
      <t xml:space="preserve">
For example, an introduction and overview of the site is provided together with section snapshots and example content.</t>
    </r>
  </si>
  <si>
    <r>
      <t>The homepage / starting page is effective in orienting and directing users to their desired information and tasks</t>
    </r>
    <r>
      <rPr>
        <sz val="10"/>
        <rFont val="Arial"/>
      </rPr>
      <t xml:space="preserve">
Users should be able to work out where they need to go to complete a given task (e.g. carry out some research, complete a transaction).</t>
    </r>
  </si>
  <si>
    <r>
      <t xml:space="preserve">The homepage / starting page layout is clear and uncluttered with sufficient 'white space'
</t>
    </r>
    <r>
      <rPr>
        <sz val="10"/>
        <rFont val="Arial"/>
      </rPr>
      <t>Users should be able to quickly scan the homepage and make sense of both the content available and of how the site is structured.</t>
    </r>
  </si>
  <si>
    <t>Navigation</t>
  </si>
  <si>
    <t>Weighting 
(out of 5)</t>
  </si>
  <si>
    <t>Weighting ratio</t>
  </si>
  <si>
    <t>Rating
(0 - 5)</t>
  </si>
  <si>
    <t>Out of</t>
  </si>
  <si>
    <t>N/A</t>
  </si>
  <si>
    <r>
      <t>Users can easily access the site or application</t>
    </r>
    <r>
      <rPr>
        <sz val="10"/>
        <rFont val="Arial"/>
      </rPr>
      <t xml:space="preserve">
For example, the URL is predictable and is returned by search engines. If a user attempts to find the site via a search engine, it should ideally be returned on the first page of search results for likely queries.</t>
    </r>
  </si>
  <si>
    <t>Low</t>
  </si>
  <si>
    <r>
      <t>The navigational scheme is easy to find, intuitive and consistent</t>
    </r>
    <r>
      <rPr>
        <sz val="10"/>
        <rFont val="Arial"/>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</si>
  <si>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t>The navigation has sufficient flexibility to allow users to navigate by their desired means</t>
    </r>
    <r>
      <rPr>
        <sz val="10"/>
        <rFont val="Arial"/>
      </rPr>
      <t xml:space="preserve">
For example a user might want to be able to search for an item or browse by size, name or type. Although not all user preferences can or indeed should be addressed, the most useful and common navigational means should be supported.</t>
    </r>
  </si>
  <si>
    <r>
      <t>The site or application structure is clear, easily understood and addresses common user goals</t>
    </r>
    <r>
      <rPr>
        <sz val="10"/>
        <rFont val="Arial"/>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</si>
  <si>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t>Features and functionality meet common user goals and objectives.</t>
  </si>
  <si>
    <t>Las características y la funcionalidad cumplen con las metas y objetivos comunes del usuario.</t>
  </si>
  <si>
    <r>
      <t>Links are clear, descriptive and well labelled</t>
    </r>
    <r>
      <rPr>
        <sz val="10"/>
        <rFont val="Arial"/>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</si>
  <si>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t>Browser standard functions (e.g. 'back', 'forward', 'bookmark') are supported</t>
    </r>
    <r>
      <rPr>
        <sz val="10"/>
        <rFont val="Arial"/>
      </rPr>
      <t xml:space="preserve">
Users should be able to bookmark a page (or be presented with a URL to use) and go back and forth without breaking the site or losing any information they have entered.  </t>
    </r>
  </si>
  <si>
    <r>
      <t>The current location is clearly indicated (e.g. breadcrumb, highlighted menu item)</t>
    </r>
    <r>
      <rPr>
        <sz val="10"/>
        <rFont val="Arial"/>
      </rPr>
      <t xml:space="preserve">
Users should always know where they are in the site or application.</t>
    </r>
  </si>
  <si>
    <r>
      <t>Users can easily get back to the homepage or a relevant start point</t>
    </r>
    <r>
      <rPr>
        <sz val="10"/>
        <rFont val="Arial"/>
      </rPr>
      <t xml:space="preserve">
For example, a homepage link might be part of the breadcrumb or a home link might be available as part of the header.</t>
    </r>
  </si>
  <si>
    <r>
      <t>A clear and well structure site map or index is provided (where necessary)</t>
    </r>
    <r>
      <rPr>
        <sz val="10"/>
        <rFont val="Arial"/>
      </rPr>
      <t xml:space="preserve">
The sitemap might be part of the header or footer and should ideally be available from every page on the site.</t>
    </r>
  </si>
  <si>
    <t>Very low</t>
  </si>
  <si>
    <t>Search</t>
  </si>
  <si>
    <r>
      <t>A consistent, easy to find and easy to use search function is available throughout</t>
    </r>
    <r>
      <rPr>
        <sz val="10"/>
        <rFont val="Arial"/>
      </rPr>
      <t xml:space="preserve">
The search function (where required) should be directly available from most pages on the site or application and should be consistently positioned (e.g. top left, top right or top centre).</t>
    </r>
  </si>
  <si>
    <r>
      <t>The search interface is appropriate to meet user goals</t>
    </r>
    <r>
      <rPr>
        <sz val="10"/>
        <rFont val="Arial"/>
      </rPr>
      <t xml:space="preserve">
For example users are able to filter search results, an advanced search is available (if necessary) and common search conventions such as quotation marks (") and natural language searches are handled.</t>
    </r>
  </si>
  <si>
    <r>
      <t>The search facility deals well with common searches, misspellings and abbreviations</t>
    </r>
    <r>
      <rPr>
        <sz val="10"/>
        <rFont val="Arial"/>
      </rPr>
      <t xml:space="preserve">
Ideally synonyms (e.g. 'coat' should also match 'jacket') should mean that logical and appropriate search results are returned for common user queries. Popular search results (e.g. top matches) should also be identified for common queries.</t>
    </r>
  </si>
  <si>
    <r>
      <t>Search results are relevant, comprehensive, precise, and well displayed</t>
    </r>
    <r>
      <rPr>
        <sz val="10"/>
        <rFont val="Arial"/>
      </rPr>
      <t xml:space="preserve">
It should be easy for users to see what has been returned, to work out why something has been returned and to determine how many results there are.</t>
    </r>
  </si>
  <si>
    <t>Control &amp; feedback</t>
  </si>
  <si>
    <r>
      <t>Prompt and  appropriate feedback is given</t>
    </r>
    <r>
      <rPr>
        <sz val="10"/>
        <rFont val="Arial"/>
      </rPr>
      <t xml:space="preserve">
For example, a confirmation message is shown following a successful transaction, input errors are promptly highlighted and it's made clear to users when a page has been updated.</t>
    </r>
  </si>
  <si>
    <r>
      <t>Users can easily undo, go back and change, or cancel actions</t>
    </r>
    <r>
      <rPr>
        <sz val="10"/>
        <rFont val="Arial"/>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</si>
  <si>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t>Users can easily give feedback</t>
    </r>
    <r>
      <rPr>
        <sz val="10"/>
        <rFont val="Arial"/>
      </rPr>
      <t xml:space="preserve">
For example, via email or an online feedback / contact us form. There should be an indication of how long users can expect to wait for a response if a query has been made.</t>
    </r>
  </si>
  <si>
    <t>Forms</t>
  </si>
  <si>
    <r>
      <t>Complex forms and processes are broken up into readily understood steps and sections</t>
    </r>
    <r>
      <rPr>
        <sz val="10"/>
        <rFont val="Arial"/>
      </rPr>
      <t xml:space="preserve">
For example, a checkout process might be broken up in to 'address', 'delivery options', 'payment' and 'confirmation'. Where a process is used a progress indicator is present with clear numbers or named stages.</t>
    </r>
  </si>
  <si>
    <r>
      <t>A minimal amount of information is requested and where necessary justification is given for asking for information</t>
    </r>
    <r>
      <rPr>
        <sz val="10"/>
        <rFont val="Arial"/>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</si>
  <si>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t>Required and optional form fields are clearly indicated (e.g. using text or '*')</t>
    </r>
    <r>
      <rPr>
        <sz val="10"/>
        <rFont val="Arial"/>
      </rPr>
      <t xml:space="preserve">
Where most fields are required the optional fields should be identified and when most fields are optional the required fields should be identified.</t>
    </r>
  </si>
  <si>
    <r>
      <t>Appropriate input fields are used and required formats are indicated</t>
    </r>
    <r>
      <rPr>
        <sz val="10"/>
        <rFont val="Arial"/>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</si>
  <si>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t>Help and instructions (e.g. examples, information required) are provided where necessary</t>
    </r>
    <r>
      <rPr>
        <sz val="10"/>
        <rFont val="Arial"/>
      </rPr>
      <t xml:space="preserve">
Where input is non trivial or is likely to require some explanation this should be provided. Where a-lot of explanation is necessary a link to a page outlining what is required should be provided.</t>
    </r>
  </si>
  <si>
    <t>Errors</t>
  </si>
  <si>
    <r>
      <t>Errors are clear, easily identified and appear in appropriate locations</t>
    </r>
    <r>
      <rPr>
        <sz val="10"/>
        <rFont val="Arial"/>
      </rPr>
      <t xml:space="preserve">
Errors should be immediately apparent to users and ideally be located close to the offending input or function (e.g. adjacent to an input entry field). Inputs causing an error should be highlighted, together with an explanation for the error.</t>
    </r>
  </si>
  <si>
    <t>Features and functionality support users desired workflows.</t>
  </si>
  <si>
    <r>
      <t xml:space="preserve">Error messages are concise, written in easy to understand language and describe what's occurred and what action is necessary
</t>
    </r>
    <r>
      <rPr>
        <sz val="10"/>
        <rFont val="Arial"/>
      </rPr>
      <t>Errors should avoid using very technical terms or jargon and should be written from the user's perspective.</t>
    </r>
  </si>
  <si>
    <t>Las características y la funcionalidad son compatibles con los flujos de trabajo deseados por los usuarios.</t>
  </si>
  <si>
    <r>
      <t>Common user errors have been taken into consideration and where possible prevented</t>
    </r>
    <r>
      <rPr>
        <sz val="10"/>
        <rFont val="Arial"/>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</si>
  <si>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t>Users are able to easily recover (i.e. not have to start again) from errors</t>
    </r>
    <r>
      <rPr>
        <sz val="10"/>
        <rFont val="Arial"/>
      </rPr>
      <t xml:space="preserve">
For example, users might be able to re-edit and resubmit a form or enter a different value.</t>
    </r>
  </si>
  <si>
    <t>Content &amp; text</t>
  </si>
  <si>
    <r>
      <t>Content available (e.g. text, images, video, audio) is appropriate and sufficiently relevant, and detailed to meet user goals</t>
    </r>
    <r>
      <rPr>
        <sz val="10"/>
        <rFont val="Arial"/>
      </rPr>
      <t xml:space="preserve">
Content should also be appropriately formatted, so for example videos and audio should be directly playable (i.e. shouldn't need to be downloaded to be played) and images should be of a sufficient quality.</t>
    </r>
  </si>
  <si>
    <r>
      <t>Links to other useful and relevant content (e.g. related pages, external websites or documents) are available and shown in context</t>
    </r>
    <r>
      <rPr>
        <sz val="10"/>
        <rFont val="Arial"/>
      </rPr>
      <t xml:space="preserve">
For example there might be links from an article to related articles, related content or related external websites.</t>
    </r>
  </si>
  <si>
    <r>
      <t>Language, terminology and tone used is appropriate and readily understood by the target audience</t>
    </r>
    <r>
      <rPr>
        <sz val="10"/>
        <rFont val="Arial"/>
      </rPr>
      <t xml:space="preserve">
Jargon should be kept to a minimum and plain language should be used where ever possible.</t>
    </r>
  </si>
  <si>
    <r>
      <t>Terms, language and tone used are consistent (e.g. the same term is used throughout)</t>
    </r>
    <r>
      <rPr>
        <sz val="10"/>
        <rFont val="Arial"/>
      </rPr>
      <t xml:space="preserve">
Capitalisation (e.g. 'Main title'; 'Main Title'; 'MAIN TITLE') and grammar should be consistent, together with the use of formal or informal terms (e.g. could not vs couldn't; what's vs what is etc...).</t>
    </r>
  </si>
  <si>
    <r>
      <t>Text and content is legible and scanable, with good typography and visual contrast</t>
    </r>
    <r>
      <rPr>
        <sz val="10"/>
        <rFont val="Arial"/>
      </rPr>
      <t xml:space="preserve">
Users should be able to quickly scan headers and body text, in order to get an overview of what's available.</t>
    </r>
  </si>
  <si>
    <t>Help</t>
  </si>
  <si>
    <t>Frequently-used tasks are readily available (e.g. easily accessible from the homepage) and well supported (e.g. short cuts are available).</t>
  </si>
  <si>
    <t>Las tareas de uso frecuente están fácilmente disponibles (por ejemplo, fácilmente accesibles desde la página de inicio) y están bien soportadas (por ejemplo, los accesos directos están disponibles).</t>
  </si>
  <si>
    <r>
      <t>Online help is provided and is suitable for the user base</t>
    </r>
    <r>
      <rPr>
        <sz val="10"/>
        <rFont val="Arial"/>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</si>
  <si>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t>Online help is concise, easy to read and written in easy to understand language</t>
    </r>
    <r>
      <rPr>
        <sz val="10"/>
        <rFont val="Arial"/>
      </rPr>
      <t xml:space="preserve">
Help should cover the essentials without providing excessive detail and shouldn't use jargon or technical terminology that isn't likely to be understood by users.</t>
    </r>
  </si>
  <si>
    <r>
      <t>Accessing online help does not impede users</t>
    </r>
    <r>
      <rPr>
        <sz val="10"/>
        <rFont val="Arial"/>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</si>
  <si>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t>Users can easily get further help (e.g. telephone or email address)</t>
    </r>
    <r>
      <rPr>
        <sz val="10"/>
        <rFont val="Arial"/>
      </rPr>
      <t xml:space="preserve">
If a telephone help number is provided the hours of operation should be shown. If an email address or online form is provided, an indication should be given of how long a response is likely to take (e.g. within the next 24 hrs).</t>
    </r>
  </si>
  <si>
    <t>Performance</t>
  </si>
  <si>
    <t>Users are adequately supported according to their level of expertise (e.g. short cuts for expert users, help and instructions for novice users).</t>
  </si>
  <si>
    <t>Los usuarios reciben un apoyo adecuado según su nivel de experiencia (por ejemplo, atajos para usuarios expertos, ayuda e instrucciones para usuarios novatos).</t>
  </si>
  <si>
    <r>
      <t>Site or application performance doesn't inhibit the user experience (e.g. slow page downloads, long delays)</t>
    </r>
    <r>
      <rPr>
        <sz val="10"/>
        <rFont val="Arial"/>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</si>
  <si>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t>Errors and reliability issues don't inhibit the user experience</t>
    </r>
    <r>
      <rPr>
        <sz val="10"/>
        <rFont val="Arial"/>
      </rPr>
      <t xml:space="preserve">
Sites and applications should be free of bugs and shouldn't have any broken links.</t>
    </r>
  </si>
  <si>
    <r>
      <t>Possible user configurations (e.g. browsers, resolutions, computer specs) are supported</t>
    </r>
    <r>
      <rPr>
        <sz val="10"/>
        <rFont val="Arial"/>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</si>
  <si>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Las llamadas a las acciones (por ejemplo, registrarse, agregar a la cesta, enviar) son claras, están bien etiquetadas y aparecen como cliqueables.</t>
  </si>
  <si>
    <t>Call to actions (e.g. register, add to basket, submit) are clear, well labelled and appear clickable.</t>
  </si>
  <si>
    <t>La página de inicio proporciona una instantánea clara y una descripción general del contenido, las características y la funcionalidad disponible.</t>
  </si>
  <si>
    <t>The Homepage / starting page provides a clear snapshot and overview of the content, features and functionality available.</t>
  </si>
  <si>
    <t>La página de inicio es eficaz para orientar y dirigir a los usuarios a la información y las tareas deseadas.</t>
  </si>
  <si>
    <t>The home page / starting page is effective in orienting and directing users to their desired information and tasks.</t>
  </si>
  <si>
    <t>The homepage / starting page layout is clear and uncluttered with sufficient 'white space'.</t>
  </si>
  <si>
    <t>El diseño de la página de inicio es clara y ordenada con suficiente "espacio en blanco".</t>
  </si>
  <si>
    <t>Los usuarios pueden acceder fácilmente al sitio o la aplicación (por ejemplo, la URL es predecible y es devuelta por los motores de búsqueda).</t>
  </si>
  <si>
    <t>Users can easily access the site or application (e.g. the URL is predictable and is returned by search engines).</t>
  </si>
  <si>
    <t>El esquema de navegación (por ejemplo, el menú) es fácil de encontrar, intuitivo y consistente.</t>
  </si>
  <si>
    <t>The navigational scheme (e.g. menu) is easy to find, intuitive and consistent.</t>
  </si>
  <si>
    <t>La navegación tiene la flexibilidad suficiente para permitir que los usuarios naveguen por los medios deseados (por ejemplo, búsqueda, navegación por tipo, navegación por nombre, más reciente, etc.).</t>
  </si>
  <si>
    <t xml:space="preserve">The navigation has sufficient flexibility to allow users to navigate by their desired means (e.g. searching, browse by type, browse by name, most recent etc…). </t>
  </si>
  <si>
    <t>La estructura del sitio o la aplicación es clara, fácil de entender y aborda objetivos comunes del usuario.</t>
  </si>
  <si>
    <t>The site or application structure is clear, easily understood and addresses common user goals.</t>
  </si>
  <si>
    <t>Los enlaces son claros, descriptivos y están bien etiquetados.</t>
  </si>
  <si>
    <t>Links are clear, descriptive and and well labelled.</t>
  </si>
  <si>
    <t>Las funciones estándar del navegador (por ejemplo, 'atrás', 'adelante', 'marcador') son compatibles.</t>
  </si>
  <si>
    <t>Browser standard functions (e.g. 'back', 'forward', 'bookmark') are supported.</t>
  </si>
  <si>
    <t>La ubicación actual está claramente indicada (por ejemplo, ruta de navegación, elemento de menú resaltado).</t>
  </si>
  <si>
    <t>The current location is clearly indicated (e.g. breadcrumb, highlighted menu item).</t>
  </si>
  <si>
    <t>Los usuarios pueden volver fácilmente a la página de inicio o a un punto de inicio relevante.</t>
  </si>
  <si>
    <t>Users can easily get back to the homepage or a relevant start point.</t>
  </si>
  <si>
    <t>Se proporciona un mapa del sitio o índice claro y bien estructurado (cuando sea necesario)</t>
  </si>
  <si>
    <t>A clear and well structure site map or index is provided (where necessary).</t>
  </si>
  <si>
    <t>Una función de búsqueda consistente, fácil de encontrar y fácil de usar está disponible en todas partes (cuando sea conveniente)</t>
  </si>
  <si>
    <t>A consitent, easy to find and easy to use search function is available throughout (where desirable).</t>
  </si>
  <si>
    <t>La interfaz de búsqueda es adecuada para cumplir los objetivos del usuario (por ejemplo, parámetros múltiples, resultados priorizados, filtrado de resultados de búsqueda)</t>
  </si>
  <si>
    <t>The search interface is appropriate to meet user goals (e.g. multi-parameter, prioritised results, filtering search results).</t>
  </si>
  <si>
    <t>El servicio de búsqueda se ocupa de las búsquedas comunes (por ejemplo, muestra la mayoría de resultados populares), faltas de ortografía y abreviaturas.</t>
  </si>
  <si>
    <t>The search facility deals well with common searchs (e.g. showing most popular results), misspellings and abbreviations.</t>
  </si>
  <si>
    <t>Los resultados de búsqueda son relevantes, exhaustivos, precisos y se muestran bien</t>
  </si>
  <si>
    <t>Search results are relevant, comprehensive, precise, and well displayed.</t>
  </si>
  <si>
    <t xml:space="preserve">Se proporciona una respuesta rápida y apropiada (por ejemplo, después de una acción exitosa o no exitosa).
</t>
  </si>
  <si>
    <t>Prompt and appropriate feedback is given (e.g. following a successful or unsuccessful action).</t>
  </si>
  <si>
    <t>Users can easily undo, go back and change or cancel actions; or are at least given the chance to confirm an action before commiting (e.g. before placing an order).</t>
  </si>
  <si>
    <t>Los usuarios pueden fácilmente deshacer, volver atrás y cambiar o cancelar acciones; o al menos tienen la oportunidad de confirmar una acción antes de cometer (por ejemplo, antes de realizar un pedido)</t>
  </si>
  <si>
    <t>Users can easily give feedback (e.g. via email or an online feedback / contact us form).</t>
  </si>
  <si>
    <t>Los usuarios pueden enviar comentarios (por ejemplo, por correo electrónico o mediante un formulario de comentarios / contacto en línea)</t>
  </si>
  <si>
    <t>Complex forms and processes are broken up into readily understood steps and sections. Where a process is used a progress indicator is present with clear numbers or named stages.</t>
  </si>
  <si>
    <t>Los formularios y los procesos complejos se dividen en pasos y secciones fácilmente comprensibles. Cuando se utiliza un proceso, hay un indicador de progreso con números claros o etapas con nombre.</t>
  </si>
  <si>
    <t>A minimal amount of information is requested and where required justification is given for asking for information (e.g. date of birth, telephone number).</t>
  </si>
  <si>
    <t>Se solicita una cantidad mínima de información y, cuando se proporciona la justificación necesaria para solicitar información (por ejemplo, fecha de nacimiento, número de teléfono)</t>
  </si>
  <si>
    <t>Los campos de formulario requeridos y opcionales están claramente indicados</t>
  </si>
  <si>
    <t>Required and optional form fields are clearly indicated.</t>
  </si>
  <si>
    <t>Se utilizan los campos de entrada apropiados (por ejemplo, el calendario para la selección de la fecha, el menú desplegable para la selección) y se indican los formatos requeridos</t>
  </si>
  <si>
    <t>Appropriate input fields (e.g. calendar for date selection, drop down for selection) are used and required formats are indicated.</t>
  </si>
  <si>
    <t xml:space="preserve">Se proporcionan ayuda e instrucciones (como ejemplos, información requerida) donde sea necesario. </t>
  </si>
  <si>
    <t>Help and instructions (e.g. examples, information required) are provided where necessary.</t>
  </si>
  <si>
    <t>Los errores son claros, fácilmente identificables y aparecen en la ubicación apropiada (por ejemplo, adyacente al campo de entrada de datos, adyacente al formulario, etc.).</t>
  </si>
  <si>
    <t>Errors are clear, easily identifiable and appear in appropriate location (e.g. adjacent to data entry field, adjacent to form, etc.).</t>
  </si>
  <si>
    <t>Los mensajes de error son concisos, están escritos en un lenguaje fácil de entender y describen qué ocurrió y qué acción es necesaria</t>
  </si>
  <si>
    <t>Rating below</t>
  </si>
  <si>
    <t>Error messages are concise, written in easy to understand language and describe what's occurred and what action is necessary.</t>
  </si>
  <si>
    <t>Rating</t>
  </si>
  <si>
    <t>Rating ranges</t>
  </si>
  <si>
    <t>Very Poor</t>
  </si>
  <si>
    <t>less than</t>
  </si>
  <si>
    <t>Los errores de usuario comunes (por ejemplo, campos faltantes, formatos no válidos, selecciones no válidas) se han tenido en cuenta y, en la medida de lo posible, se han prevenido.</t>
  </si>
  <si>
    <t>between</t>
  </si>
  <si>
    <t>and</t>
  </si>
  <si>
    <t>Common user errors (e.g. missing fields, invalid formats, invalid selections) have been taken into consideration and where possible prevented.</t>
  </si>
  <si>
    <t>more than</t>
  </si>
  <si>
    <t>Los usuarios pueden recuperarse fácilmente (es decir, no tienen que comenzar de nuevo) de los errores</t>
  </si>
  <si>
    <t>Users are able to easily recover (i.e. not have to start again) from errors.</t>
  </si>
  <si>
    <t>Content available (e.g. text, images, video) is appropriate and sufficiently relevant, and detailed to meet user goals.</t>
  </si>
  <si>
    <t>El contenido disponible (por ejemplo, texto, imágenes, video) es apropiado y suficientemente relevante, y detallado para cumplir con los objetivos del usuario</t>
  </si>
  <si>
    <t>Links to other useful and relevant content (e.g. related pages or external websites) are available and shown in context.</t>
  </si>
  <si>
    <t>Los enlaces a otros contenidos útiles y relevantes (por ejemplo, páginas relacionadas o sitios web externos) están disponibles y se muestran en contexto</t>
  </si>
  <si>
    <t>Language, terminology and tone used is appropriate and readily understood by the target audience.</t>
  </si>
  <si>
    <t>El lenguaje, la terminología y el tono utilizados son apropiados y son fácilmente comprensibles para el público objetivo</t>
  </si>
  <si>
    <t>Terms, language and tone used are consitent (e.g. the same term is used throughout).</t>
  </si>
  <si>
    <t>Los términos, el idioma y el tono utilizados son consistentes (por ejemplo, el mismo término se usa en todo)</t>
  </si>
  <si>
    <t>Text and content is legible and scanable, with good typography and visual contrast.</t>
  </si>
  <si>
    <t>El texto y el contenido son legibles y escaneables, con buena tipografía y contraste visual</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</si>
  <si>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</si>
  <si>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</si>
  <si>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</si>
  <si>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 xml:space="preserve">Se proporciona ayuda en línea y contextual y es adecuada para la base de usuarios (por ejemplo, está escrita en un lenguaje fácil de entender y solo usa términos reconocidos). </t>
  </si>
  <si>
    <t>Users can easily get further help (e.g. telephone or email address).</t>
  </si>
  <si>
    <t>La ayuda en línea es concisa, fácil de leer y escrita en un lenguaje fácil de entender</t>
  </si>
  <si>
    <t>Site or application performance doesn't inhibit the user experience (e.g. slow page downloads, long delays).</t>
  </si>
  <si>
    <t>El acceso a la ayuda en línea no impide a los usuarios (es decir, pueden reanudar el trabajo donde lo dejaron después de acceder a la ayuda)</t>
  </si>
  <si>
    <t>Errors and reliabilty issues don't inhibit the user experience.</t>
  </si>
  <si>
    <t>Los usuarios pueden obtener más ayuda fácilmente (por ejemplo, teléfono o dirección de correo electrónico)</t>
  </si>
  <si>
    <t>El rendimiento del sitio o la aplicación no inhibe la experiencia del usuario (por ejemplo, descargas lentas de páginas, retrasos prolongados)</t>
  </si>
  <si>
    <t>Possible user configurations (e.g. browsers, resolutions, computer specs) are supported.</t>
  </si>
  <si>
    <t>Overall usability score (out of 100) *</t>
  </si>
  <si>
    <t>Los errores y problemas de confiabilidad no inhiben la experiencia del usuario</t>
  </si>
  <si>
    <t>Se admiten posibles configuraciones de usuario (por ejemplo, navegadores, resoluciones, especificaciones de computadora)</t>
  </si>
  <si>
    <t>Plantilla extraida del artículo: A guide to carrying out usability reviews</t>
  </si>
  <si>
    <t>http://www.uxforthemasses.com/usability-reviews/</t>
  </si>
  <si>
    <t>http://www.uxforthemasses.com/wp-content/uploads/2011/02/Usability-review-template.xls</t>
  </si>
  <si>
    <t>El principal objetivo que tendrá un usuario será ver la carta o reservar mesa, la opción de reservar mesa si está bastante visible y accesible, sin embargo, el usuario debe navegar demasiado dentro de la web para llegar a la seccion de la carta. El menu desplegable de hamburguesa no es intuitivo y no da "feedback" cuando interactuas con el</t>
  </si>
  <si>
    <t>Como se menciona en el apartado anterior, el usuario, para acceder a la carta, tiene que avanzar demasiado dentro de la web lo que puede hacer que el usuario se pierda con tanta información.</t>
  </si>
  <si>
    <t>No está implementada de manera correcta la navegación por teclado por lo que no permitirá el correcto funcionamiento de los lectores de pantalla que usan las personas ciegas.</t>
  </si>
  <si>
    <t>Los accesos a las distintas secciones de la web funcionan, sin embargo, no resultan nada vistosos ni dan informacion cuando se interactua, por otro lado es común colocar el menú desplegable en la zona superior derecha, en esta web el menú está colocado en la zona superior izquierda por lo cual no es lo estandar. El logo no funciona a la hora de volver a la página principal</t>
  </si>
  <si>
    <t>Las secciones se encuentran dentro de la cabecera por lo que hacen que el usuario se fije en ellas rápidamente.</t>
  </si>
  <si>
    <t>La página de inicio tiene un patron en Z colocando en la parte de la cabecera cosas importantes como reservar mesa o hacer pedido. Sin embargo se podría colocar la carta un par de secciones antes debido a la importancia de esta.</t>
  </si>
  <si>
    <t>La distribución de las secciones de la web deja bastante que desear porque no sigue ninguna estructura lo que puede hacer que el usuario se pierda.</t>
  </si>
  <si>
    <t>La web tiene demasiada información con la finalidad de que compres X producto aunque está distribuida de una forma que, pese a tener muchas secciones, estas no están muy sobrecargadas.</t>
  </si>
  <si>
    <t>La navegación dentro de la web está mostrada en la URL lo que puede hacer que el usuario más experimentado sepa la sección en la que se encuentra</t>
  </si>
  <si>
    <t>Encontramos un menú de hamburguesa desplegable, que una vez abierto, hace que no sea posible de nuevo la navegación dentro de la web ya que ocupa toda la pantalla. Este menú no tiene interacción con el usuario al pasar el cursor.</t>
  </si>
  <si>
    <t>No se encuentra eso dentro de la web, la carta del restaurante tiene todas sus secciones mezcladas, esto puede dar lugar a confusión.</t>
  </si>
  <si>
    <t>La web es un lío, la función principal que ha buscado el diseñador es que el usuario haga scroll para que se vaya encontrando las distintas secciones de la web. Que en teoría debería de ser funcional al buscar ser usado por usuario de móviles, sin embargo la implementación no es correcta.</t>
  </si>
  <si>
    <t>Los botones con enlaces no poseen ninguna etiqueta cuando colocas el cursor encima, lo cual no proporciona toda la información que debería proporcionar.</t>
  </si>
  <si>
    <t>Se puede navegar 'atrás' y 'adelante' sin embargo si entras en la sección de hacer pedido, y quieres volver atrás a la página principal, lo establecido es que el propio logo de la web sea un botón que devuelve a la página principal, en este caso no funciona.</t>
  </si>
  <si>
    <t>Como hemos dicho en el punto 14 el logo no funciona como botón para volver a la página principal, hay que borrar la url para poder volver.</t>
  </si>
  <si>
    <t>Al navegar a la sección de 'hacer pedido' no sale un mapa para saber a qué restaurante estás haciendo el pedido y la distancia a la que se encuentra.</t>
  </si>
  <si>
    <t>Los botones están claramente marcados destacando el boton 'reservar' .</t>
  </si>
  <si>
    <t>La organización de la web está constante en toda navegación, sin embargo, esta organización puede ser bastante liosa.</t>
  </si>
  <si>
    <t>La web está diseñada para vender los productos más destacados de la franquicia, sin embargo, no aporta filtrado de búsqueda dentro de la carta.</t>
  </si>
  <si>
    <t>No se ofrece dicha caracteristica</t>
  </si>
  <si>
    <t>La navegación dentro de la web ofrece respuestas rapidas y rapidas</t>
  </si>
  <si>
    <t>En la sección de recoger un pedido, una vez seleccionado la opción "programar mi pedido" , no se puede volver a marcar la opción "lo antes posible" si no se reinicia la página. En cuanto a las reservas, si queremos modificar una reserva podemos darle al botón de volver y los datos insertados se guardan</t>
  </si>
  <si>
    <t>Hay una sección de contacto llamada "atención al cliente" pero está situado en la parte inferior de la página en un lugar donde no destaca</t>
  </si>
  <si>
    <t>No hay ningún indicador de progreso a la hora de pedir un producto, de hecho el a la hora de elegir el producto a pedir, se avanza a la siguiente sección con el botón "finalizar pedido" lo que puede llevar a confusión</t>
  </si>
  <si>
    <t>Se necesita dar información muy básica, a excepción de un apartado de comentarios acecrca del pedido</t>
  </si>
  <si>
    <t>No se diferencia entre campos opcionales y obligatorios</t>
  </si>
  <si>
    <t>A la hora de reservar, la fecha está implementada con un sistema de calendario, sin embargo, la hora está implementado con un sistema de menú donde es más tedioso encontrar tu hora</t>
  </si>
  <si>
    <t>A la hora de reservar se avisa al usuario cuando no se ha introducido un input necesario, sin embargo, relativo al número de comensales, permite elegir mesas para más de 7 personas con el menú desplegable, pero abajo indican que para reservar grupos de mínimo 7 personas se comuniquen por Whatsapp</t>
  </si>
  <si>
    <t>Como se ha mencionado, cuándo no se ha introducido un input en campos obligatorios, se avisa al usuario con un mensaje en rojo con el error</t>
  </si>
  <si>
    <t>Los mensajes son concisos, simples y fácilmente identificables</t>
  </si>
  <si>
    <t>Los campos están bien definidos según el tipo de información que se necesite añadir</t>
  </si>
  <si>
    <t>Los errores normalemente no dejan avanzar al usuario hasta que no tengan un valor válido</t>
  </si>
  <si>
    <t>Las imágenes que describen los productos son buenas, pero deberían mostrarse más fotos o videos de cada producto separado</t>
  </si>
  <si>
    <t>Al final de la página, hay enlaces que redirigen a sus redes sociales</t>
  </si>
  <si>
    <t>El idioma cambia automaticamente a español cuando el usuario quiere hacer un pedido</t>
  </si>
  <si>
    <t>El término "patty" se usa una única vez, en las descripciones de las hamburguesas se indica como carne</t>
  </si>
  <si>
    <t>Letras grandes con una fuente gruesa e identificables con el contraste</t>
  </si>
  <si>
    <t>Aunque haya una forma de comunicarse mediante Whatsapp para preguntar por dudas, no hay ningún apartado de FAQ o QA</t>
  </si>
  <si>
    <t>Whatsapp para resolver dudas</t>
  </si>
  <si>
    <t>Cada sección de la carta es un archivo html distinto, lo que hace que cambiar de sección sea relativamente lento</t>
  </si>
  <si>
    <t>Es bastante web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</si>
</sst>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0"/>
      <color rgb="FF000000"/>
      <name val="Arial"/>
    </font>
    <font>
      <sz val="18"/>
      <color rgb="FFFFFFFF"/>
      <name val="Arial"/>
    </font>
    <font>
      <sz val="10"/>
      <name val="Arial"/>
    </font>
    <font>
      <sz val="10"/>
      <color theme="1"/>
      <name val="Arial"/>
    </font>
    <font>
      <b/>
      <sz val="10"/>
      <color theme="1"/>
      <name val="Arial"/>
    </font>
    <font>
      <sz val="10"/>
      <color rgb="FFC0C0C0"/>
      <name val="Arial"/>
    </font>
    <font>
      <b/>
      <sz val="10"/>
      <name val="Arial"/>
    </font>
    <font>
      <sz val="10"/>
      <color rgb="FFFFFFFF"/>
      <name val="Arial"/>
    </font>
    <font>
      <b/>
      <sz val="12"/>
      <color rgb="FF808080"/>
      <name val="Arial"/>
    </font>
    <font>
      <sz val="10"/>
      <color rgb="FF333333"/>
      <name val="Arial"/>
    </font>
    <font>
      <sz val="10"/>
      <color rgb="FF000080"/>
      <name val="Bliss 2 regular"/>
    </font>
    <font>
      <sz val="8"/>
      <color theme="1"/>
      <name val="Arial"/>
    </font>
    <font>
      <sz val="10"/>
      <color rgb="FF808080"/>
      <name val="Arial"/>
    </font>
    <font>
      <b/>
      <sz val="10"/>
      <color theme="1"/>
      <name val="Bliss 2 medium"/>
    </font>
    <font>
      <b/>
      <sz val="16"/>
      <color rgb="FF808080"/>
      <name val="Arial"/>
    </font>
    <font>
      <b/>
      <sz val="16"/>
      <color rgb="FF000080"/>
      <name val="Arial"/>
    </font>
    <font>
      <sz val="10"/>
      <color theme="1"/>
      <name val="Calibri"/>
    </font>
    <font>
      <sz val="8"/>
      <color rgb="FF000080"/>
      <name val="Arial"/>
    </font>
    <font>
      <sz val="10"/>
      <color theme="1"/>
      <name val="Bliss 2 medium"/>
    </font>
    <font>
      <b/>
      <sz val="10"/>
      <color rgb="FF000080"/>
      <name val="Arial"/>
    </font>
    <font>
      <sz val="10"/>
      <name val="Arial"/>
    </font>
    <font>
      <i/>
      <sz val="8"/>
      <color theme="1"/>
      <name val="Arial"/>
    </font>
    <font>
      <b/>
      <sz val="10"/>
      <color rgb="FF000080"/>
      <name val="Bliss 2 medium"/>
    </font>
    <font>
      <i/>
      <sz val="10"/>
      <color rgb="FFC0C0C0"/>
      <name val="Arial"/>
    </font>
    <font>
      <sz val="14"/>
      <color rgb="FFFFFFFF"/>
      <name val="Arial"/>
    </font>
    <font>
      <b/>
      <sz val="14"/>
      <color rgb="FFFFFFFF"/>
      <name val="Bliss 2 medium"/>
    </font>
    <font>
      <b/>
      <sz val="14"/>
      <color rgb="FFFFFFFF"/>
      <name val="Arial"/>
    </font>
    <font>
      <sz val="8"/>
      <color rgb="FF333333"/>
      <name val="Arial"/>
    </font>
    <font>
      <b/>
      <sz val="8"/>
      <color rgb="FF333333"/>
      <name val="Arial"/>
    </font>
    <font>
      <b/>
      <sz val="10"/>
      <color rgb="FF333333"/>
      <name val="Arial"/>
    </font>
    <font>
      <u/>
      <sz val="10"/>
      <color rgb="FF0000FF"/>
      <name val="Arial"/>
    </font>
    <font>
      <u/>
      <sz val="10"/>
      <color rgb="FF0000FF"/>
      <name val="Arial"/>
    </font>
    <font>
      <u/>
      <sz val="10"/>
      <color theme="1"/>
      <name val="Arial"/>
      <family val="2"/>
    </font>
    <font>
      <i/>
      <sz val="8"/>
      <color theme="1"/>
      <name val="Arial"/>
      <family val="2"/>
    </font>
  </fonts>
  <fills count="3">
    <fill>
      <patternFill patternType="none"/>
    </fill>
    <fill>
      <patternFill patternType="gray125"/>
    </fill>
    <fill>
      <patternFill patternType="solid">
        <fgColor rgb="FF333333"/>
        <bgColor rgb="FF333333"/>
      </patternFill>
    </fill>
  </fills>
  <borders count="19">
    <border>
      <left/>
      <right/>
      <top/>
      <bottom/>
      <diagonal/>
    </border>
    <border>
      <left/>
      <right/>
      <top/>
      <bottom/>
      <diagonal/>
    </border>
    <border>
      <left/>
      <right/>
      <top/>
      <bottom/>
      <diagonal/>
    </border>
    <border>
      <left/>
      <right/>
      <top/>
      <bottom/>
      <diagonal/>
    </border>
    <border>
      <left style="thin">
        <color rgb="FFC0C0C0"/>
      </left>
      <right style="thin">
        <color rgb="FFC0C0C0"/>
      </right>
      <top style="thin">
        <color rgb="FFC0C0C0"/>
      </top>
      <bottom style="thin">
        <color rgb="FFC0C0C0"/>
      </bottom>
      <diagonal/>
    </border>
    <border>
      <left style="medium">
        <color rgb="FF000000"/>
      </left>
      <right style="medium">
        <color rgb="FF000000"/>
      </right>
      <top style="medium">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s>
  <cellStyleXfs count="1">
    <xf numFmtId="0" fontId="0" fillId="0" borderId="0"/>
  </cellStyleXfs>
  <cellXfs count="103">
    <xf numFmtId="0" fontId="0" fillId="0" borderId="0" xfId="0"/>
    <xf numFmtId="0" fontId="3" fillId="0" borderId="0" xfId="0" applyFont="1"/>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xf numFmtId="0" fontId="7" fillId="0" borderId="0" xfId="0" applyFont="1" applyAlignment="1">
      <alignment horizontal="left"/>
    </xf>
    <xf numFmtId="0" fontId="8" fillId="0" borderId="0" xfId="0" applyFont="1"/>
    <xf numFmtId="0" fontId="9" fillId="0" borderId="0" xfId="0" applyFont="1"/>
    <xf numFmtId="0" fontId="8" fillId="0" borderId="0" xfId="0" applyFont="1" applyAlignment="1">
      <alignment vertical="top"/>
    </xf>
    <xf numFmtId="0" fontId="10" fillId="0" borderId="0" xfId="0" applyFont="1" applyAlignment="1">
      <alignment horizontal="right"/>
    </xf>
    <xf numFmtId="0" fontId="3" fillId="0" borderId="0" xfId="0" applyFont="1" applyAlignment="1">
      <alignment vertical="top"/>
    </xf>
    <xf numFmtId="0" fontId="3" fillId="0" borderId="0" xfId="0" applyFont="1" applyAlignment="1">
      <alignment horizontal="left"/>
    </xf>
    <xf numFmtId="0" fontId="11" fillId="0" borderId="0" xfId="0" applyFont="1" applyAlignment="1">
      <alignment horizontal="left" vertical="top"/>
    </xf>
    <xf numFmtId="0" fontId="3" fillId="0" borderId="0" xfId="0" applyFont="1" applyAlignment="1">
      <alignment horizontal="right"/>
    </xf>
    <xf numFmtId="0" fontId="12" fillId="0" borderId="4" xfId="0" applyFont="1" applyBorder="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4" fillId="0" borderId="4" xfId="0" applyFont="1" applyBorder="1" applyAlignment="1">
      <alignment vertical="top" wrapText="1"/>
    </xf>
    <xf numFmtId="0" fontId="7" fillId="0" borderId="0" xfId="0" applyFont="1" applyAlignment="1">
      <alignment horizontal="left" vertical="top"/>
    </xf>
    <xf numFmtId="0" fontId="13" fillId="0" borderId="4" xfId="0" applyFont="1" applyBorder="1" applyAlignment="1">
      <alignment horizontal="center" vertical="top"/>
    </xf>
    <xf numFmtId="0" fontId="10" fillId="0" borderId="0" xfId="0" applyFont="1" applyAlignment="1">
      <alignment horizontal="right" vertical="top"/>
    </xf>
    <xf numFmtId="0" fontId="14" fillId="0" borderId="0" xfId="0" applyFont="1" applyAlignment="1">
      <alignment horizontal="center"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6" fillId="0" borderId="0" xfId="0" applyFont="1"/>
    <xf numFmtId="0" fontId="11"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wrapText="1"/>
    </xf>
    <xf numFmtId="0" fontId="5" fillId="0" borderId="0" xfId="0" applyFont="1" applyAlignment="1">
      <alignment horizontal="right" vertical="top"/>
    </xf>
    <xf numFmtId="0" fontId="17" fillId="0" borderId="0" xfId="0" applyFont="1" applyAlignment="1">
      <alignment vertical="center" wrapText="1"/>
    </xf>
    <xf numFmtId="0" fontId="17" fillId="0" borderId="0" xfId="0" applyFont="1" applyAlignment="1">
      <alignment horizontal="center" vertical="center" wrapText="1"/>
    </xf>
    <xf numFmtId="0" fontId="18" fillId="0" borderId="0" xfId="0" applyFont="1" applyAlignment="1">
      <alignment horizontal="center"/>
    </xf>
    <xf numFmtId="0" fontId="19" fillId="0" borderId="0" xfId="0" applyFont="1"/>
    <xf numFmtId="0" fontId="3" fillId="0" borderId="0" xfId="0" applyFont="1" applyAlignment="1">
      <alignment horizontal="left" vertical="top"/>
    </xf>
    <xf numFmtId="0" fontId="12" fillId="0" borderId="0" xfId="0" applyFont="1" applyAlignment="1">
      <alignment horizontal="left" vertical="top"/>
    </xf>
    <xf numFmtId="0" fontId="20" fillId="0" borderId="0" xfId="0" applyFont="1" applyAlignment="1">
      <alignment vertical="top" wrapText="1"/>
    </xf>
    <xf numFmtId="0" fontId="13" fillId="0" borderId="5" xfId="0" applyFont="1" applyBorder="1" applyAlignment="1">
      <alignment horizontal="center" vertical="center"/>
    </xf>
    <xf numFmtId="0" fontId="21" fillId="0" borderId="5" xfId="0" applyFont="1" applyBorder="1" applyAlignment="1">
      <alignment horizontal="left" vertical="top" wrapText="1"/>
    </xf>
    <xf numFmtId="0" fontId="5" fillId="0" borderId="0" xfId="0" applyFont="1" applyAlignment="1">
      <alignment horizontal="right"/>
    </xf>
    <xf numFmtId="9" fontId="5" fillId="0" borderId="0" xfId="0" applyNumberFormat="1" applyFont="1" applyAlignment="1">
      <alignment horizontal="right"/>
    </xf>
    <xf numFmtId="0" fontId="5" fillId="0" borderId="0" xfId="0" applyFont="1"/>
    <xf numFmtId="0" fontId="18" fillId="0" borderId="0" xfId="0" applyFont="1" applyAlignment="1">
      <alignment horizontal="center" vertical="center"/>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5" fillId="0" borderId="0" xfId="0" applyFont="1" applyAlignment="1">
      <alignment horizontal="right" wrapText="1"/>
    </xf>
    <xf numFmtId="9" fontId="5" fillId="0" borderId="0" xfId="0" applyNumberFormat="1" applyFont="1" applyAlignment="1">
      <alignment horizontal="right" wrapText="1"/>
    </xf>
    <xf numFmtId="0" fontId="5" fillId="0" borderId="0" xfId="0" applyFont="1" applyAlignment="1">
      <alignment wrapText="1"/>
    </xf>
    <xf numFmtId="0" fontId="20" fillId="0" borderId="0" xfId="0" applyFont="1" applyAlignment="1">
      <alignment vertical="center" wrapText="1"/>
    </xf>
    <xf numFmtId="0" fontId="19" fillId="0" borderId="0" xfId="0" applyFont="1" applyAlignment="1">
      <alignment vertical="center" wrapText="1"/>
    </xf>
    <xf numFmtId="0" fontId="5" fillId="0" borderId="0" xfId="0" applyFont="1" applyAlignment="1">
      <alignment vertical="top" wrapText="1"/>
    </xf>
    <xf numFmtId="0" fontId="22" fillId="0" borderId="0" xfId="0" applyFont="1" applyAlignment="1">
      <alignment horizontal="center" vertical="center"/>
    </xf>
    <xf numFmtId="0" fontId="5" fillId="0" borderId="0" xfId="0" applyFont="1" applyAlignment="1">
      <alignment horizontal="left" vertical="top" wrapText="1"/>
    </xf>
    <xf numFmtId="0" fontId="4" fillId="0" borderId="0" xfId="0" applyFont="1"/>
    <xf numFmtId="1" fontId="3" fillId="0" borderId="0" xfId="0" applyNumberFormat="1" applyFont="1" applyAlignment="1">
      <alignment horizontal="left"/>
    </xf>
    <xf numFmtId="9" fontId="3" fillId="0" borderId="0" xfId="0" applyNumberFormat="1" applyFont="1" applyAlignment="1">
      <alignment horizontal="left"/>
    </xf>
    <xf numFmtId="1" fontId="3" fillId="0" borderId="0" xfId="0" applyNumberFormat="1" applyFont="1"/>
    <xf numFmtId="0" fontId="3" fillId="0" borderId="0" xfId="0" applyFont="1" applyAlignment="1">
      <alignment horizontal="center"/>
    </xf>
    <xf numFmtId="9" fontId="5" fillId="0" borderId="0" xfId="0" applyNumberFormat="1" applyFont="1" applyAlignment="1">
      <alignment horizontal="right" vertical="top"/>
    </xf>
    <xf numFmtId="0" fontId="5" fillId="0" borderId="0" xfId="0" applyFont="1" applyAlignment="1">
      <alignment vertical="top"/>
    </xf>
    <xf numFmtId="0" fontId="18" fillId="0" borderId="0" xfId="0" applyFont="1" applyAlignment="1">
      <alignment horizontal="center" vertical="top"/>
    </xf>
    <xf numFmtId="0" fontId="23" fillId="0" borderId="0" xfId="0" applyFont="1" applyAlignment="1">
      <alignment horizontal="right"/>
    </xf>
    <xf numFmtId="0" fontId="23" fillId="0" borderId="0" xfId="0" applyFont="1"/>
    <xf numFmtId="0" fontId="24" fillId="2" borderId="6" xfId="0" applyFont="1" applyFill="1" applyBorder="1" applyAlignment="1">
      <alignment horizontal="left" vertical="center"/>
    </xf>
    <xf numFmtId="0" fontId="4" fillId="0" borderId="5" xfId="0" applyFont="1" applyBorder="1" applyAlignment="1">
      <alignment horizontal="center" vertical="center"/>
    </xf>
    <xf numFmtId="0" fontId="24" fillId="2" borderId="7" xfId="0" applyFont="1" applyFill="1" applyBorder="1"/>
    <xf numFmtId="0" fontId="24" fillId="2" borderId="8" xfId="0" applyFont="1" applyFill="1" applyBorder="1"/>
    <xf numFmtId="1" fontId="25" fillId="2" borderId="9" xfId="0" applyNumberFormat="1" applyFont="1" applyFill="1" applyBorder="1" applyAlignment="1">
      <alignment horizontal="center" vertical="center"/>
    </xf>
    <xf numFmtId="0" fontId="7" fillId="2" borderId="10" xfId="0" applyFont="1" applyFill="1" applyBorder="1"/>
    <xf numFmtId="0" fontId="24" fillId="2" borderId="6" xfId="0" applyFont="1" applyFill="1" applyBorder="1" applyAlignment="1">
      <alignment horizontal="center" vertical="center"/>
    </xf>
    <xf numFmtId="0" fontId="26" fillId="2" borderId="6" xfId="0" applyFont="1" applyFill="1" applyBorder="1" applyAlignment="1">
      <alignment horizontal="left" vertical="center"/>
    </xf>
    <xf numFmtId="0" fontId="2" fillId="0" borderId="0" xfId="0" applyFont="1"/>
    <xf numFmtId="164" fontId="18" fillId="0" borderId="0" xfId="0" applyNumberFormat="1" applyFont="1" applyAlignment="1">
      <alignment horizontal="center"/>
    </xf>
    <xf numFmtId="0" fontId="28" fillId="0" borderId="14" xfId="0" applyFont="1" applyBorder="1" applyAlignment="1">
      <alignment horizontal="left"/>
    </xf>
    <xf numFmtId="0" fontId="29" fillId="0" borderId="0" xfId="0" applyFont="1" applyAlignment="1">
      <alignment horizontal="left"/>
    </xf>
    <xf numFmtId="0" fontId="30" fillId="0" borderId="0" xfId="0" applyFont="1"/>
    <xf numFmtId="0" fontId="29" fillId="0" borderId="15" xfId="0" applyFont="1" applyBorder="1" applyAlignment="1">
      <alignment horizontal="left"/>
    </xf>
    <xf numFmtId="0" fontId="31" fillId="0" borderId="0" xfId="0" applyFont="1"/>
    <xf numFmtId="0" fontId="32" fillId="0" borderId="0" xfId="0" applyFont="1"/>
    <xf numFmtId="0" fontId="33" fillId="0" borderId="5" xfId="0" applyFont="1" applyBorder="1" applyAlignment="1">
      <alignment horizontal="left" vertical="top" wrapText="1"/>
    </xf>
    <xf numFmtId="0" fontId="1" fillId="2" borderId="1" xfId="0" applyFont="1" applyFill="1" applyBorder="1"/>
    <xf numFmtId="0" fontId="2" fillId="0" borderId="2" xfId="0" applyFont="1" applyBorder="1"/>
    <xf numFmtId="0" fontId="2" fillId="0" borderId="3" xfId="0" applyFont="1" applyBorder="1"/>
    <xf numFmtId="0" fontId="14" fillId="0" borderId="0" xfId="0" applyFont="1" applyAlignment="1">
      <alignment vertical="top"/>
    </xf>
    <xf numFmtId="0" fontId="0" fillId="0" borderId="0" xfId="0"/>
    <xf numFmtId="0" fontId="27" fillId="0" borderId="11" xfId="0" applyFont="1" applyBorder="1" applyAlignment="1">
      <alignment wrapText="1"/>
    </xf>
    <xf numFmtId="0" fontId="2" fillId="0" borderId="12" xfId="0" applyFont="1" applyBorder="1"/>
    <xf numFmtId="0" fontId="2" fillId="0" borderId="13" xfId="0" applyFont="1" applyBorder="1"/>
    <xf numFmtId="0" fontId="27" fillId="0" borderId="14" xfId="0" applyFont="1" applyBorder="1" applyAlignment="1">
      <alignment wrapText="1"/>
    </xf>
    <xf numFmtId="0" fontId="2" fillId="0" borderId="15" xfId="0" applyFont="1" applyBorder="1"/>
    <xf numFmtId="0" fontId="27" fillId="0" borderId="14" xfId="0" applyFont="1" applyBorder="1" applyAlignment="1">
      <alignment horizontal="left" wrapText="1"/>
    </xf>
    <xf numFmtId="0" fontId="5" fillId="0" borderId="0" xfId="0" applyFont="1" applyAlignment="1">
      <alignment horizontal="right" vertical="top"/>
    </xf>
    <xf numFmtId="0" fontId="27" fillId="0" borderId="16" xfId="0" applyFont="1" applyBorder="1" applyAlignment="1">
      <alignment wrapText="1"/>
    </xf>
    <xf numFmtId="0" fontId="2" fillId="0" borderId="17" xfId="0" applyFont="1" applyBorder="1"/>
    <xf numFmtId="0" fontId="2" fillId="0" borderId="18" xfId="0" applyFont="1" applyBorder="1"/>
    <xf numFmtId="0" fontId="5" fillId="0" borderId="0" xfId="0" applyFont="1" applyAlignment="1">
      <alignment horizontal="right" vertical="top" wrapText="1"/>
    </xf>
    <xf numFmtId="0" fontId="4" fillId="0" borderId="0" xfId="0" applyFont="1"/>
  </cellXfs>
  <cellStyles count="1">
    <cellStyle name="Normal" xfId="0" builtinId="0"/>
  </cellStyles>
  <dxfs count="3">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08" zoomScale="99" zoomScaleNormal="99" workbookViewId="0">
      <selection activeCell="I115" sqref="I115"/>
    </sheetView>
  </sheetViews>
  <sheetFormatPr baseColWidth="10" defaultColWidth="14.44140625" defaultRowHeight="15" customHeight="1"/>
  <cols>
    <col min="1" max="1" width="4.5546875" customWidth="1"/>
    <col min="2" max="2" width="60.33203125" customWidth="1"/>
    <col min="3" max="3" width="4.5546875" customWidth="1"/>
    <col min="4" max="4" width="13.88671875" customWidth="1"/>
    <col min="5" max="5" width="11.5546875" hidden="1" customWidth="1"/>
    <col min="6" max="6" width="6.6640625" hidden="1" customWidth="1"/>
    <col min="7" max="7" width="4.44140625" hidden="1" customWidth="1"/>
    <col min="8" max="8" width="4.109375" customWidth="1"/>
    <col min="9" max="9" width="51.33203125" customWidth="1"/>
    <col min="10" max="10" width="2.109375" customWidth="1"/>
    <col min="11" max="12" width="12.109375" customWidth="1"/>
    <col min="13" max="13" width="9.109375" customWidth="1"/>
    <col min="14" max="26" width="8" customWidth="1"/>
  </cols>
  <sheetData>
    <row r="1" spans="1:22" ht="23.25" customHeight="1">
      <c r="A1" s="86" t="s">
        <v>2</v>
      </c>
      <c r="B1" s="87"/>
      <c r="C1" s="87"/>
      <c r="D1" s="87"/>
      <c r="E1" s="87"/>
      <c r="F1" s="87"/>
      <c r="G1" s="87"/>
      <c r="H1" s="87"/>
      <c r="I1" s="88"/>
      <c r="J1" s="4"/>
      <c r="K1" s="6"/>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89" t="s">
        <v>9</v>
      </c>
      <c r="B3" s="90"/>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101" t="s">
        <v>30</v>
      </c>
      <c r="L7" s="101" t="s">
        <v>31</v>
      </c>
      <c r="M7" s="101" t="s">
        <v>32</v>
      </c>
      <c r="N7" s="97" t="s">
        <v>10</v>
      </c>
      <c r="O7" s="97" t="s">
        <v>33</v>
      </c>
      <c r="P7" s="18"/>
      <c r="Q7" s="19" t="s">
        <v>34</v>
      </c>
      <c r="R7" s="21">
        <v>0</v>
      </c>
      <c r="S7" s="1"/>
      <c r="T7" s="1"/>
      <c r="U7" s="1"/>
      <c r="V7" s="10"/>
    </row>
    <row r="8" spans="1:22" ht="14.25" customHeight="1">
      <c r="B8" s="38"/>
      <c r="C8" s="1"/>
      <c r="D8" s="37"/>
      <c r="E8" s="1"/>
      <c r="F8" s="1"/>
      <c r="G8" s="1"/>
      <c r="H8" s="1"/>
      <c r="I8" s="1"/>
      <c r="J8" s="1"/>
      <c r="K8" s="90"/>
      <c r="L8" s="90"/>
      <c r="M8" s="90"/>
      <c r="N8" s="90"/>
      <c r="O8" s="90"/>
      <c r="P8" s="18"/>
      <c r="Q8" s="1"/>
      <c r="R8" s="39"/>
      <c r="S8" s="1"/>
      <c r="T8" s="1"/>
      <c r="U8" s="1"/>
      <c r="V8" s="10"/>
    </row>
    <row r="9" spans="1:22" ht="39.75" customHeight="1">
      <c r="A9" s="40">
        <v>1</v>
      </c>
      <c r="B9" s="41" t="s">
        <v>41</v>
      </c>
      <c r="C9" s="1"/>
      <c r="D9" s="42" t="s">
        <v>12</v>
      </c>
      <c r="E9" s="1"/>
      <c r="F9" s="1" t="e">
        <f>#REF!*#REF!</f>
        <v>#REF!</v>
      </c>
      <c r="G9" s="1" t="e">
        <f>IF(#REF!&gt;=0,10*#REF!,0)</f>
        <v>#REF!</v>
      </c>
      <c r="H9" s="1"/>
      <c r="I9" s="43" t="s">
        <v>183</v>
      </c>
      <c r="J9" s="1"/>
      <c r="K9" s="44">
        <v>5</v>
      </c>
      <c r="L9" s="45">
        <f>K9/K117</f>
        <v>1</v>
      </c>
      <c r="M9" s="46">
        <f>VLOOKUP(D9,Q1:R9,2,FALSE)</f>
        <v>2</v>
      </c>
      <c r="N9" s="46">
        <f>M9*L9</f>
        <v>2</v>
      </c>
      <c r="O9" s="46">
        <f>IF(M9=0,0,L9*MAX(R2:R8))</f>
        <v>5</v>
      </c>
      <c r="P9" s="18"/>
      <c r="Q9" s="1"/>
      <c r="R9" s="39"/>
      <c r="S9" s="1"/>
      <c r="T9" s="1"/>
      <c r="U9" s="1"/>
      <c r="V9" s="10"/>
    </row>
    <row r="10" spans="1:22" ht="12" customHeight="1">
      <c r="A10" s="40"/>
      <c r="B10" s="48"/>
      <c r="C10" s="1"/>
      <c r="D10" s="47"/>
      <c r="E10" s="1"/>
      <c r="F10" s="1"/>
      <c r="G10" s="1"/>
      <c r="H10" s="1"/>
      <c r="I10" s="1"/>
      <c r="J10" s="1"/>
      <c r="K10" s="44"/>
      <c r="L10" s="45"/>
      <c r="M10" s="46"/>
      <c r="N10" s="46"/>
      <c r="O10" s="46"/>
      <c r="P10" s="49"/>
      <c r="Q10" s="1"/>
      <c r="R10" s="1"/>
      <c r="S10" s="1"/>
      <c r="T10" s="1"/>
      <c r="U10" s="1"/>
      <c r="V10" s="10"/>
    </row>
    <row r="11" spans="1:22" ht="39.75" customHeight="1">
      <c r="A11" s="40">
        <f>A9+1</f>
        <v>2</v>
      </c>
      <c r="B11" s="41" t="s">
        <v>67</v>
      </c>
      <c r="C11" s="1"/>
      <c r="D11" s="42" t="s">
        <v>12</v>
      </c>
      <c r="E11" s="1"/>
      <c r="F11" s="1" t="e">
        <f>#REF!*#REF!</f>
        <v>#REF!</v>
      </c>
      <c r="G11" s="1" t="e">
        <f>IF(#REF!&gt;=0,10*#REF!,0)</f>
        <v>#REF!</v>
      </c>
      <c r="H11" s="1"/>
      <c r="I11" s="43" t="s">
        <v>184</v>
      </c>
      <c r="J11" s="1"/>
      <c r="K11" s="44">
        <v>5</v>
      </c>
      <c r="L11" s="45">
        <f>K11/K117</f>
        <v>1</v>
      </c>
      <c r="M11" s="46">
        <f>VLOOKUP(D11,Q1:R9,2,FALSE)</f>
        <v>2</v>
      </c>
      <c r="N11" s="46">
        <f>M11*L11</f>
        <v>2</v>
      </c>
      <c r="O11" s="46">
        <f>IF(M11=0,0,L11*MAX(R2:R8))</f>
        <v>5</v>
      </c>
      <c r="P11" s="49"/>
      <c r="S11" s="10"/>
      <c r="T11" s="10"/>
      <c r="U11" s="10"/>
      <c r="V11" s="10"/>
    </row>
    <row r="12" spans="1:22" ht="12" customHeight="1">
      <c r="A12" s="40"/>
      <c r="B12" s="48"/>
      <c r="C12" s="1"/>
      <c r="D12" s="47"/>
      <c r="E12" s="1"/>
      <c r="F12" s="1"/>
      <c r="G12" s="1"/>
      <c r="H12" s="1"/>
      <c r="I12" s="1"/>
      <c r="J12" s="1"/>
      <c r="K12" s="44"/>
      <c r="L12" s="45"/>
      <c r="M12" s="46"/>
      <c r="N12" s="46"/>
      <c r="O12" s="46"/>
      <c r="P12" s="10"/>
      <c r="Q12" s="10"/>
      <c r="R12" s="10"/>
      <c r="S12" s="50"/>
      <c r="T12" s="10"/>
      <c r="U12" s="10"/>
      <c r="V12" s="10"/>
    </row>
    <row r="13" spans="1:22" ht="39.75" customHeight="1">
      <c r="A13" s="40">
        <f>A11+1</f>
        <v>3</v>
      </c>
      <c r="B13" s="41" t="s">
        <v>78</v>
      </c>
      <c r="C13" s="1"/>
      <c r="D13" s="42" t="s">
        <v>12</v>
      </c>
      <c r="E13" s="1"/>
      <c r="F13" s="1" t="e">
        <f>#REF!*#REF!</f>
        <v>#REF!</v>
      </c>
      <c r="G13" s="1" t="e">
        <f>IF(#REF!&gt;=0,10*#REF!,0)</f>
        <v>#REF!</v>
      </c>
      <c r="H13" s="1"/>
      <c r="I13" s="43" t="s">
        <v>186</v>
      </c>
      <c r="J13" s="1"/>
      <c r="K13" s="44">
        <v>4</v>
      </c>
      <c r="L13" s="45">
        <f>K13/K117</f>
        <v>0.8</v>
      </c>
      <c r="M13" s="46">
        <f>VLOOKUP(D13,Q1:R9,2,FALSE)</f>
        <v>2</v>
      </c>
      <c r="N13" s="46">
        <f>M13*L13</f>
        <v>1.6</v>
      </c>
      <c r="O13" s="46">
        <f>IF(M13=0,0,L13*MAX(R2:R8))</f>
        <v>4</v>
      </c>
      <c r="P13" s="10"/>
      <c r="Q13" s="10"/>
      <c r="R13" s="10"/>
      <c r="S13" s="50"/>
      <c r="T13" s="10"/>
      <c r="U13" s="10"/>
      <c r="V13" s="10"/>
    </row>
    <row r="14" spans="1:22" ht="12" customHeight="1">
      <c r="A14" s="40"/>
      <c r="B14" s="48"/>
      <c r="C14" s="1"/>
      <c r="D14" s="47"/>
      <c r="E14" s="1"/>
      <c r="F14" s="1"/>
      <c r="G14" s="1"/>
      <c r="H14" s="1"/>
      <c r="I14" s="1"/>
      <c r="J14" s="1"/>
      <c r="K14" s="44"/>
      <c r="L14" s="45"/>
      <c r="M14" s="46"/>
      <c r="N14" s="46"/>
      <c r="O14" s="46"/>
      <c r="S14" s="48"/>
    </row>
    <row r="15" spans="1:22" ht="39.75" customHeight="1">
      <c r="A15" s="40">
        <f>A13+1</f>
        <v>4</v>
      </c>
      <c r="B15" s="41" t="s">
        <v>85</v>
      </c>
      <c r="C15" s="1"/>
      <c r="D15" s="42" t="s">
        <v>6</v>
      </c>
      <c r="E15" s="1"/>
      <c r="F15" s="1" t="e">
        <f>#REF!*#REF!</f>
        <v>#REF!</v>
      </c>
      <c r="G15" s="1" t="e">
        <f>IF(#REF!&gt;=0,10*#REF!,0)</f>
        <v>#REF!</v>
      </c>
      <c r="H15" s="1"/>
      <c r="I15" s="43" t="s">
        <v>185</v>
      </c>
      <c r="J15" s="1"/>
      <c r="K15" s="51">
        <v>3</v>
      </c>
      <c r="L15" s="52">
        <f>K15/K117</f>
        <v>0.6</v>
      </c>
      <c r="M15" s="46">
        <f>VLOOKUP(D15,Q1:R9,2,FALSE)</f>
        <v>1</v>
      </c>
      <c r="N15" s="46">
        <f>M15*L15</f>
        <v>0.6</v>
      </c>
      <c r="O15" s="53">
        <f>IF(M15=0,0,L15*MAX(R2:R8))</f>
        <v>3</v>
      </c>
      <c r="P15" s="18"/>
      <c r="S15" s="18"/>
      <c r="T15" s="1"/>
    </row>
    <row r="16" spans="1:22" ht="12" customHeight="1">
      <c r="A16" s="40"/>
      <c r="B16" s="48"/>
      <c r="C16" s="1"/>
      <c r="D16" s="47"/>
      <c r="E16" s="1"/>
      <c r="F16" s="1"/>
      <c r="G16" s="1"/>
      <c r="H16" s="1"/>
      <c r="I16" s="1"/>
      <c r="J16" s="1"/>
      <c r="K16" s="44"/>
      <c r="L16" s="45"/>
      <c r="M16" s="46"/>
      <c r="N16" s="46"/>
      <c r="O16" s="46"/>
      <c r="S16" s="48"/>
      <c r="T16" s="1"/>
    </row>
    <row r="17" spans="1:20" ht="39.75" customHeight="1">
      <c r="A17" s="40">
        <f>A15+1</f>
        <v>5</v>
      </c>
      <c r="B17" s="41" t="s">
        <v>89</v>
      </c>
      <c r="C17" s="1"/>
      <c r="D17" s="42" t="s">
        <v>24</v>
      </c>
      <c r="E17" s="1"/>
      <c r="F17" s="1" t="e">
        <f>#REF!*#REF!</f>
        <v>#REF!</v>
      </c>
      <c r="G17" s="1" t="e">
        <f>IF(#REF!&gt;=0,10*#REF!,0)</f>
        <v>#REF!</v>
      </c>
      <c r="H17" s="1"/>
      <c r="I17" s="43" t="s">
        <v>187</v>
      </c>
      <c r="J17" s="1"/>
      <c r="K17" s="44">
        <v>3</v>
      </c>
      <c r="L17" s="45">
        <f>K17/K117</f>
        <v>0.6</v>
      </c>
      <c r="M17" s="46">
        <f>VLOOKUP(D17,Q1:R9,2,FALSE)</f>
        <v>4</v>
      </c>
      <c r="N17" s="46">
        <f>M17*L17</f>
        <v>2.4</v>
      </c>
      <c r="O17" s="46">
        <f>IF(M17=0,0,L17*MAX(R2:R8))</f>
        <v>3</v>
      </c>
      <c r="S17" s="48"/>
      <c r="T17" s="1"/>
    </row>
    <row r="18" spans="1:20" ht="12" customHeight="1">
      <c r="B18" s="32"/>
      <c r="C18" s="1"/>
      <c r="D18" s="47"/>
      <c r="E18" s="1"/>
      <c r="F18" s="1"/>
      <c r="G18" s="1"/>
      <c r="H18" s="1"/>
      <c r="I18" s="1"/>
      <c r="J18" s="1"/>
      <c r="K18" s="44"/>
      <c r="L18" s="45"/>
      <c r="M18" s="46"/>
      <c r="N18" s="46"/>
      <c r="O18" s="46"/>
      <c r="S18" s="48"/>
      <c r="T18" s="1"/>
    </row>
    <row r="19" spans="1:20" ht="15.75" customHeight="1">
      <c r="A19" s="9" t="s">
        <v>22</v>
      </c>
      <c r="C19" s="38"/>
      <c r="D19" s="47"/>
      <c r="E19" s="1"/>
      <c r="F19" s="1"/>
      <c r="G19" s="1"/>
      <c r="H19" s="1"/>
      <c r="I19" s="84"/>
      <c r="J19" s="1"/>
      <c r="K19" s="44"/>
      <c r="L19" s="45"/>
      <c r="M19" s="46"/>
      <c r="N19" s="46"/>
      <c r="O19" s="46"/>
    </row>
    <row r="20" spans="1:20" ht="14.25" customHeight="1">
      <c r="B20" s="55"/>
      <c r="C20" s="38"/>
      <c r="D20" s="47"/>
      <c r="E20" s="1"/>
      <c r="F20" s="1"/>
      <c r="G20" s="1"/>
      <c r="H20" s="1"/>
      <c r="I20" s="1"/>
      <c r="J20" s="1"/>
      <c r="K20" s="44"/>
      <c r="L20" s="45"/>
      <c r="M20" s="46"/>
      <c r="N20" s="46"/>
      <c r="O20" s="46"/>
    </row>
    <row r="21" spans="1:20" ht="39.75" customHeight="1">
      <c r="A21" s="40">
        <f>A17+1</f>
        <v>6</v>
      </c>
      <c r="B21" s="41" t="s">
        <v>91</v>
      </c>
      <c r="C21" s="1"/>
      <c r="D21" s="42" t="s">
        <v>14</v>
      </c>
      <c r="E21" s="1"/>
      <c r="F21" s="1" t="e">
        <f>#REF!*#REF!</f>
        <v>#REF!</v>
      </c>
      <c r="G21" s="1" t="e">
        <f>IF(#REF!&gt;=0,10*#REF!,0)</f>
        <v>#REF!</v>
      </c>
      <c r="H21" s="1"/>
      <c r="I21" s="43" t="s">
        <v>188</v>
      </c>
      <c r="J21" s="1"/>
      <c r="K21" s="44">
        <v>3</v>
      </c>
      <c r="L21" s="45">
        <f>K21/K117</f>
        <v>0.6</v>
      </c>
      <c r="M21" s="46">
        <f>VLOOKUP(D21,Q1:R9,2,FALSE)</f>
        <v>3</v>
      </c>
      <c r="N21" s="46">
        <f>M21*L21</f>
        <v>1.7999999999999998</v>
      </c>
      <c r="O21" s="46">
        <f>IF(M21=0,0,L21*MAX(R2:R8))</f>
        <v>3</v>
      </c>
    </row>
    <row r="22" spans="1:20" ht="12" customHeight="1">
      <c r="A22" s="40"/>
      <c r="B22" s="48"/>
      <c r="C22" s="1"/>
      <c r="D22" s="47"/>
      <c r="E22" s="1"/>
      <c r="F22" s="1"/>
      <c r="G22" s="1"/>
      <c r="H22" s="1"/>
      <c r="I22" s="1"/>
      <c r="J22" s="1"/>
      <c r="K22" s="51"/>
      <c r="L22" s="52"/>
      <c r="M22" s="46"/>
      <c r="N22" s="56"/>
      <c r="O22" s="56"/>
      <c r="P22" s="48"/>
      <c r="Q22" s="48"/>
      <c r="R22" s="48"/>
    </row>
    <row r="23" spans="1:20" ht="39.75" customHeight="1">
      <c r="A23" s="40">
        <f>A21+1</f>
        <v>7</v>
      </c>
      <c r="B23" s="41" t="s">
        <v>93</v>
      </c>
      <c r="C23" s="1"/>
      <c r="D23" s="42" t="s">
        <v>12</v>
      </c>
      <c r="E23" s="1"/>
      <c r="F23" s="1" t="e">
        <f>#REF!*#REF!</f>
        <v>#REF!</v>
      </c>
      <c r="G23" s="1" t="e">
        <f>IF(#REF!&gt;=0,10*#REF!,0)</f>
        <v>#REF!</v>
      </c>
      <c r="H23" s="1"/>
      <c r="I23" s="43" t="s">
        <v>189</v>
      </c>
      <c r="J23" s="1"/>
      <c r="K23" s="44">
        <v>4</v>
      </c>
      <c r="L23" s="45">
        <f>K23/K117</f>
        <v>0.8</v>
      </c>
      <c r="M23" s="46">
        <f>VLOOKUP(D23,Q1:R9,2,FALSE)</f>
        <v>2</v>
      </c>
      <c r="N23" s="46">
        <f>M23*L23</f>
        <v>1.6</v>
      </c>
      <c r="O23" s="46">
        <f>IF(M23=0,0,L23*MAX(R2:R8))</f>
        <v>4</v>
      </c>
      <c r="Q23" s="48"/>
      <c r="R23" s="48"/>
    </row>
    <row r="24" spans="1:20" ht="12" customHeight="1">
      <c r="A24" s="40"/>
      <c r="B24" s="48"/>
      <c r="C24" s="1"/>
      <c r="D24" s="47"/>
      <c r="E24" s="1"/>
      <c r="F24" s="1"/>
      <c r="G24" s="1"/>
      <c r="H24" s="1"/>
      <c r="I24" s="1"/>
      <c r="J24" s="1"/>
      <c r="K24" s="44"/>
      <c r="L24" s="45"/>
      <c r="M24" s="46"/>
      <c r="N24" s="46"/>
      <c r="O24" s="46"/>
      <c r="Q24" s="48"/>
      <c r="R24" s="48"/>
    </row>
    <row r="25" spans="1:20" ht="39.75" customHeight="1">
      <c r="A25" s="40">
        <f>A23+1</f>
        <v>8</v>
      </c>
      <c r="B25" s="41" t="s">
        <v>96</v>
      </c>
      <c r="C25" s="1"/>
      <c r="D25" s="42" t="s">
        <v>14</v>
      </c>
      <c r="E25" s="1"/>
      <c r="F25" s="1"/>
      <c r="G25" s="1"/>
      <c r="H25" s="1"/>
      <c r="I25" s="43" t="s">
        <v>190</v>
      </c>
      <c r="J25" s="1"/>
      <c r="K25" s="44">
        <v>3</v>
      </c>
      <c r="L25" s="45">
        <f>K25/K117</f>
        <v>0.6</v>
      </c>
      <c r="M25" s="46">
        <f>VLOOKUP(D25,Q1:R9,2,FALSE)</f>
        <v>3</v>
      </c>
      <c r="N25" s="46">
        <f>M25*L25</f>
        <v>1.7999999999999998</v>
      </c>
      <c r="O25" s="46">
        <f>IF(M25=0,0,L25*MAX(R2:R8))</f>
        <v>3</v>
      </c>
      <c r="Q25" s="48"/>
      <c r="R25" s="48"/>
    </row>
    <row r="26" spans="1:20" ht="12" customHeight="1">
      <c r="B26" s="32"/>
      <c r="C26" s="1"/>
      <c r="D26" s="47"/>
      <c r="E26" s="1"/>
      <c r="F26" s="1"/>
      <c r="G26" s="1"/>
      <c r="H26" s="1"/>
      <c r="I26" s="1"/>
      <c r="J26" s="1"/>
      <c r="K26" s="44"/>
      <c r="L26" s="45"/>
      <c r="M26" s="46"/>
      <c r="N26" s="46"/>
      <c r="O26" s="46"/>
      <c r="Q26" s="48"/>
      <c r="R26" s="48"/>
      <c r="S26" s="48"/>
    </row>
    <row r="27" spans="1:20" ht="15.75" customHeight="1">
      <c r="A27" s="9" t="s">
        <v>29</v>
      </c>
      <c r="C27" s="38"/>
      <c r="D27" s="57"/>
      <c r="E27" s="1"/>
      <c r="F27" s="1"/>
      <c r="G27" s="1"/>
      <c r="H27" s="1"/>
      <c r="I27" s="1"/>
      <c r="J27" s="1"/>
      <c r="K27" s="44"/>
      <c r="L27" s="45"/>
      <c r="M27" s="46"/>
      <c r="N27" s="46"/>
      <c r="O27" s="46"/>
      <c r="Q27" s="48"/>
      <c r="R27" s="48"/>
      <c r="S27" s="48"/>
    </row>
    <row r="28" spans="1:20" ht="14.25" customHeight="1">
      <c r="B28" s="55"/>
      <c r="C28" s="38"/>
      <c r="D28" s="57"/>
      <c r="E28" s="1"/>
      <c r="F28" s="1"/>
      <c r="G28" s="1"/>
      <c r="H28" s="1"/>
      <c r="I28" s="1"/>
      <c r="J28" s="1"/>
      <c r="K28" s="44"/>
      <c r="L28" s="45"/>
      <c r="M28" s="46"/>
      <c r="N28" s="46"/>
      <c r="O28" s="46"/>
      <c r="Q28" s="48"/>
      <c r="R28" s="48"/>
      <c r="S28" s="48"/>
    </row>
    <row r="29" spans="1:20" ht="39.75" customHeight="1">
      <c r="A29" s="40">
        <f>A25+1</f>
        <v>9</v>
      </c>
      <c r="B29" s="41" t="s">
        <v>97</v>
      </c>
      <c r="C29" s="1"/>
      <c r="D29" s="42" t="s">
        <v>24</v>
      </c>
      <c r="E29" s="1"/>
      <c r="F29" s="1" t="e">
        <f>#REF!*#REF!</f>
        <v>#REF!</v>
      </c>
      <c r="G29" s="1" t="e">
        <f>IF(#REF!&gt;=0,10*#REF!,0)</f>
        <v>#REF!</v>
      </c>
      <c r="H29" s="1"/>
      <c r="I29" s="43" t="s">
        <v>191</v>
      </c>
      <c r="J29" s="1"/>
      <c r="K29" s="44">
        <v>2</v>
      </c>
      <c r="L29" s="45">
        <f>K29/K117</f>
        <v>0.4</v>
      </c>
      <c r="M29" s="46">
        <f>VLOOKUP(D29,Q1:R9,2,FALSE)</f>
        <v>4</v>
      </c>
      <c r="N29" s="46">
        <f>M29*L29</f>
        <v>1.6</v>
      </c>
      <c r="O29" s="46">
        <f>IF(M29=0,0,L29*MAX(R2:R8))</f>
        <v>2</v>
      </c>
      <c r="Q29" s="48"/>
      <c r="R29" s="48"/>
      <c r="S29" s="48"/>
    </row>
    <row r="30" spans="1:20" ht="12" customHeight="1">
      <c r="A30" s="40"/>
      <c r="B30" s="48"/>
      <c r="C30" s="1"/>
      <c r="D30" s="47"/>
      <c r="E30" s="1"/>
      <c r="F30" s="1"/>
      <c r="G30" s="1"/>
      <c r="H30" s="1"/>
      <c r="I30" s="1"/>
      <c r="J30" s="1"/>
      <c r="K30" s="51"/>
      <c r="L30" s="52"/>
      <c r="M30" s="46"/>
      <c r="N30" s="58"/>
      <c r="O30" s="56"/>
      <c r="P30" s="18"/>
      <c r="Q30" s="18"/>
      <c r="R30" s="18"/>
      <c r="S30" s="18"/>
    </row>
    <row r="31" spans="1:20" ht="39.75" customHeight="1">
      <c r="A31" s="40">
        <f>A29+1</f>
        <v>10</v>
      </c>
      <c r="B31" s="41" t="s">
        <v>99</v>
      </c>
      <c r="C31" s="1"/>
      <c r="D31" s="42" t="s">
        <v>12</v>
      </c>
      <c r="E31" s="1"/>
      <c r="F31" s="1" t="e">
        <f>#REF!*#REF!</f>
        <v>#REF!</v>
      </c>
      <c r="G31" s="1" t="e">
        <f>IF(#REF!&gt;=0,10*#REF!,0)</f>
        <v>#REF!</v>
      </c>
      <c r="H31" s="1"/>
      <c r="I31" s="43" t="s">
        <v>192</v>
      </c>
      <c r="J31" s="1"/>
      <c r="K31" s="44">
        <v>4</v>
      </c>
      <c r="L31" s="45">
        <f>K31/K117</f>
        <v>0.8</v>
      </c>
      <c r="M31" s="46">
        <f>VLOOKUP(D31,Q1:R9,2,FALSE)</f>
        <v>2</v>
      </c>
      <c r="N31" s="46">
        <f>M31*L31</f>
        <v>1.6</v>
      </c>
      <c r="O31" s="46">
        <f>IF(M31=0,0,L31*MAX(R2:R8))</f>
        <v>4</v>
      </c>
    </row>
    <row r="32" spans="1:20" ht="12" customHeight="1">
      <c r="A32" s="40"/>
      <c r="B32" s="48"/>
      <c r="C32" s="1"/>
      <c r="D32" s="47"/>
      <c r="E32" s="1"/>
      <c r="F32" s="1"/>
      <c r="G32" s="1"/>
      <c r="H32" s="1"/>
      <c r="I32" s="1"/>
      <c r="J32" s="1"/>
      <c r="K32" s="44"/>
      <c r="L32" s="45"/>
      <c r="M32" s="46"/>
      <c r="N32" s="46"/>
      <c r="O32" s="46"/>
    </row>
    <row r="33" spans="1:19" ht="39.75" customHeight="1">
      <c r="A33" s="40">
        <f>A31+1</f>
        <v>11</v>
      </c>
      <c r="B33" s="41" t="s">
        <v>101</v>
      </c>
      <c r="C33" s="1"/>
      <c r="D33" s="42" t="s">
        <v>6</v>
      </c>
      <c r="E33" s="1"/>
      <c r="F33" s="1"/>
      <c r="G33" s="1"/>
      <c r="H33" s="1"/>
      <c r="I33" s="43" t="s">
        <v>193</v>
      </c>
      <c r="J33" s="1"/>
      <c r="K33" s="44">
        <v>3</v>
      </c>
      <c r="L33" s="45">
        <f>K33/K117</f>
        <v>0.6</v>
      </c>
      <c r="M33" s="46">
        <f>VLOOKUP(D33,Q1:R9,2,FALSE)</f>
        <v>1</v>
      </c>
      <c r="N33" s="46">
        <f>M33*L33</f>
        <v>0.6</v>
      </c>
      <c r="O33" s="46">
        <f>IF(M33=0,0,L33*MAX(R2:R8))</f>
        <v>3</v>
      </c>
    </row>
    <row r="34" spans="1:19" ht="12" customHeight="1">
      <c r="A34" s="40"/>
      <c r="B34" s="48"/>
      <c r="C34" s="1"/>
      <c r="D34" s="47"/>
      <c r="E34" s="1"/>
      <c r="F34" s="1"/>
      <c r="G34" s="1"/>
      <c r="H34" s="1"/>
      <c r="I34" s="1"/>
      <c r="J34" s="1"/>
      <c r="K34" s="44"/>
      <c r="L34" s="45"/>
      <c r="M34" s="46"/>
      <c r="N34" s="46"/>
      <c r="O34" s="46"/>
    </row>
    <row r="35" spans="1:19" ht="39.75" customHeight="1">
      <c r="A35" s="40">
        <f>A33+1</f>
        <v>12</v>
      </c>
      <c r="B35" s="41" t="s">
        <v>103</v>
      </c>
      <c r="C35" s="1"/>
      <c r="D35" s="42" t="s">
        <v>6</v>
      </c>
      <c r="E35" s="1"/>
      <c r="F35" s="1" t="e">
        <f>#REF!*#REF!</f>
        <v>#REF!</v>
      </c>
      <c r="G35" s="1" t="e">
        <f>IF(#REF!&gt;=0,10*#REF!,0)</f>
        <v>#REF!</v>
      </c>
      <c r="H35" s="1"/>
      <c r="I35" s="43" t="s">
        <v>194</v>
      </c>
      <c r="J35" s="1"/>
      <c r="K35" s="44">
        <v>5</v>
      </c>
      <c r="L35" s="45">
        <f>K35/K117</f>
        <v>1</v>
      </c>
      <c r="M35" s="46">
        <f>VLOOKUP(D35,Q1:R9,2,FALSE)</f>
        <v>1</v>
      </c>
      <c r="N35" s="46">
        <f>M35*L35</f>
        <v>1</v>
      </c>
      <c r="O35" s="46">
        <f>IF(M35=0,0,L35*MAX(R2:R8))</f>
        <v>5</v>
      </c>
    </row>
    <row r="36" spans="1:19" ht="12" customHeight="1">
      <c r="A36" s="40"/>
      <c r="B36" s="48"/>
      <c r="C36" s="1"/>
      <c r="D36" s="47"/>
      <c r="E36" s="1"/>
      <c r="F36" s="1"/>
      <c r="G36" s="1"/>
      <c r="H36" s="1"/>
      <c r="I36" s="1"/>
      <c r="J36" s="1"/>
      <c r="K36" s="44"/>
      <c r="L36" s="45"/>
      <c r="M36" s="46"/>
      <c r="N36" s="46"/>
      <c r="O36" s="46"/>
    </row>
    <row r="37" spans="1:19" ht="39.75" customHeight="1">
      <c r="A37" s="40">
        <f>A35+1</f>
        <v>13</v>
      </c>
      <c r="B37" s="41" t="s">
        <v>105</v>
      </c>
      <c r="C37" s="1"/>
      <c r="D37" s="42" t="s">
        <v>12</v>
      </c>
      <c r="E37" s="1"/>
      <c r="F37" s="1" t="e">
        <f>#REF!*#REF!</f>
        <v>#REF!</v>
      </c>
      <c r="G37" s="1" t="e">
        <f>IF(#REF!&gt;=0,10*#REF!,0)</f>
        <v>#REF!</v>
      </c>
      <c r="H37" s="1"/>
      <c r="I37" s="43" t="s">
        <v>195</v>
      </c>
      <c r="J37" s="1"/>
      <c r="K37" s="44">
        <v>3</v>
      </c>
      <c r="L37" s="45">
        <f>K37/K117</f>
        <v>0.6</v>
      </c>
      <c r="M37" s="46">
        <f>VLOOKUP(D37,Q1:R9,2,FALSE)</f>
        <v>2</v>
      </c>
      <c r="N37" s="46">
        <f>M37*L37</f>
        <v>1.2</v>
      </c>
      <c r="O37" s="46">
        <f>IF(M37=0,0,L37*MAX(R2:R8))</f>
        <v>3</v>
      </c>
    </row>
    <row r="38" spans="1:19" ht="12" customHeight="1">
      <c r="A38" s="40"/>
      <c r="B38" s="48"/>
      <c r="C38" s="1"/>
      <c r="D38" s="47"/>
      <c r="E38" s="1"/>
      <c r="F38" s="1"/>
      <c r="G38" s="1"/>
      <c r="H38" s="1"/>
      <c r="I38" s="1"/>
      <c r="J38" s="1"/>
      <c r="K38" s="44"/>
      <c r="L38" s="45"/>
      <c r="M38" s="46"/>
      <c r="N38" s="46"/>
      <c r="O38" s="46"/>
    </row>
    <row r="39" spans="1:19" ht="39.75" customHeight="1">
      <c r="A39" s="40">
        <f>A37+1</f>
        <v>14</v>
      </c>
      <c r="B39" s="41" t="s">
        <v>107</v>
      </c>
      <c r="C39" s="1"/>
      <c r="D39" s="42" t="s">
        <v>14</v>
      </c>
      <c r="E39" s="1"/>
      <c r="F39" s="1" t="e">
        <f>#REF!*#REF!</f>
        <v>#REF!</v>
      </c>
      <c r="G39" s="1" t="e">
        <f>IF(#REF!&gt;=0,10*#REF!,0)</f>
        <v>#REF!</v>
      </c>
      <c r="H39" s="1"/>
      <c r="I39" s="43" t="s">
        <v>196</v>
      </c>
      <c r="J39" s="1"/>
      <c r="K39" s="44">
        <v>4</v>
      </c>
      <c r="L39" s="45">
        <f>K39/K117</f>
        <v>0.8</v>
      </c>
      <c r="M39" s="46">
        <f>VLOOKUP(D39,Q1:R9,2,FALSE)</f>
        <v>3</v>
      </c>
      <c r="N39" s="46">
        <f>M39*L39</f>
        <v>2.4000000000000004</v>
      </c>
      <c r="O39" s="46">
        <f>IF(M39=0,0,L39*MAX(R2:R8))</f>
        <v>4</v>
      </c>
      <c r="Q39" s="48"/>
      <c r="R39" s="48"/>
      <c r="S39" s="48"/>
    </row>
    <row r="40" spans="1:19" ht="12" customHeight="1">
      <c r="A40" s="40"/>
      <c r="B40" s="48"/>
      <c r="C40" s="1"/>
      <c r="D40" s="47"/>
      <c r="E40" s="1"/>
      <c r="F40" s="1"/>
      <c r="G40" s="1"/>
      <c r="H40" s="1"/>
      <c r="I40" s="1"/>
      <c r="J40" s="1"/>
      <c r="K40" s="51"/>
      <c r="L40" s="52"/>
      <c r="M40" s="46"/>
      <c r="N40" s="58"/>
      <c r="O40" s="56"/>
      <c r="P40" s="18"/>
      <c r="Q40" s="18"/>
      <c r="R40" s="18"/>
      <c r="S40" s="18"/>
    </row>
    <row r="41" spans="1:19" ht="39.75" customHeight="1">
      <c r="A41" s="40">
        <f>A39+1</f>
        <v>15</v>
      </c>
      <c r="B41" s="41" t="s">
        <v>109</v>
      </c>
      <c r="C41" s="1"/>
      <c r="D41" s="42" t="s">
        <v>24</v>
      </c>
      <c r="E41" s="1"/>
      <c r="F41" s="1" t="e">
        <f>#REF!*#REF!</f>
        <v>#REF!</v>
      </c>
      <c r="G41" s="1" t="e">
        <f>IF(#REF!&gt;=0,10*#REF!,0)</f>
        <v>#REF!</v>
      </c>
      <c r="H41" s="1"/>
      <c r="I41" s="43" t="s">
        <v>199</v>
      </c>
      <c r="J41" s="1"/>
      <c r="K41" s="44">
        <v>2</v>
      </c>
      <c r="L41" s="45">
        <f>K41/K117</f>
        <v>0.4</v>
      </c>
      <c r="M41" s="46">
        <f>VLOOKUP(D41,Q1:R9,2,FALSE)</f>
        <v>4</v>
      </c>
      <c r="N41" s="46">
        <f>M41*L41</f>
        <v>1.6</v>
      </c>
      <c r="O41" s="46">
        <f>IF(M41=0,0,L41*MAX(R2:R8))</f>
        <v>2</v>
      </c>
    </row>
    <row r="42" spans="1:19" ht="12" customHeight="1">
      <c r="A42" s="40"/>
      <c r="B42" s="48"/>
      <c r="C42" s="1"/>
      <c r="D42" s="47"/>
      <c r="E42" s="1"/>
      <c r="F42" s="1"/>
      <c r="G42" s="1"/>
      <c r="H42" s="1"/>
      <c r="I42" s="1"/>
      <c r="J42" s="1"/>
      <c r="K42" s="44"/>
      <c r="L42" s="45"/>
      <c r="M42" s="46"/>
      <c r="N42" s="46"/>
      <c r="O42" s="46"/>
    </row>
    <row r="43" spans="1:19" ht="39.75" customHeight="1">
      <c r="A43" s="40">
        <f>A41+1</f>
        <v>16</v>
      </c>
      <c r="B43" s="41" t="s">
        <v>111</v>
      </c>
      <c r="C43" s="1"/>
      <c r="D43" s="42" t="s">
        <v>6</v>
      </c>
      <c r="E43" s="1"/>
      <c r="F43" s="1" t="e">
        <f>#REF!*#REF!</f>
        <v>#REF!</v>
      </c>
      <c r="G43" s="1" t="e">
        <f>IF(#REF!&gt;=0,10*#REF!,0)</f>
        <v>#REF!</v>
      </c>
      <c r="H43" s="1"/>
      <c r="I43" s="43" t="s">
        <v>197</v>
      </c>
      <c r="J43" s="1"/>
      <c r="K43" s="44">
        <v>2</v>
      </c>
      <c r="L43" s="45">
        <f>K43/K117</f>
        <v>0.4</v>
      </c>
      <c r="M43" s="46">
        <f>VLOOKUP(D43,Q1:R9,2,FALSE)</f>
        <v>1</v>
      </c>
      <c r="N43" s="46">
        <f>M43*L43</f>
        <v>0.4</v>
      </c>
      <c r="O43" s="46">
        <f>IF(M43=0,0,L43*MAX(R2:R8))</f>
        <v>2</v>
      </c>
    </row>
    <row r="44" spans="1:19" ht="12" customHeight="1">
      <c r="A44" s="40"/>
      <c r="B44" s="48"/>
      <c r="C44" s="1"/>
      <c r="D44" s="47"/>
      <c r="E44" s="1"/>
      <c r="F44" s="1"/>
      <c r="G44" s="1"/>
      <c r="H44" s="1"/>
      <c r="I44" s="1"/>
      <c r="J44" s="1"/>
      <c r="K44" s="44"/>
      <c r="L44" s="45"/>
      <c r="M44" s="46"/>
      <c r="N44" s="46"/>
      <c r="O44" s="46"/>
    </row>
    <row r="45" spans="1:19" ht="39.75" customHeight="1">
      <c r="A45" s="40">
        <f>A43+1</f>
        <v>17</v>
      </c>
      <c r="B45" s="41" t="s">
        <v>113</v>
      </c>
      <c r="C45" s="1"/>
      <c r="D45" s="42" t="s">
        <v>6</v>
      </c>
      <c r="E45" s="1"/>
      <c r="F45" s="1" t="e">
        <f>#REF!*#REF!</f>
        <v>#REF!</v>
      </c>
      <c r="G45" s="1" t="e">
        <f>IF(#REF!&gt;=0,10*#REF!,0)</f>
        <v>#REF!</v>
      </c>
      <c r="H45" s="1"/>
      <c r="I45" s="43" t="s">
        <v>198</v>
      </c>
      <c r="J45" s="1"/>
      <c r="K45" s="44">
        <v>1</v>
      </c>
      <c r="L45" s="45">
        <f>K45/K117</f>
        <v>0.2</v>
      </c>
      <c r="M45" s="46">
        <f>VLOOKUP(D45,Q1:R9,2,FALSE)</f>
        <v>1</v>
      </c>
      <c r="N45" s="46">
        <f>M45*L45</f>
        <v>0.2</v>
      </c>
      <c r="O45" s="46">
        <f>IF(M45=0,0,L45*MAX(R2:R8))</f>
        <v>1</v>
      </c>
    </row>
    <row r="46" spans="1:19" ht="12" customHeight="1">
      <c r="B46" s="32"/>
      <c r="C46" s="1"/>
      <c r="D46" s="47"/>
      <c r="E46" s="1"/>
      <c r="F46" s="1"/>
      <c r="G46" s="1"/>
      <c r="H46" s="1"/>
      <c r="I46" s="1"/>
      <c r="J46" s="1"/>
      <c r="K46" s="44"/>
      <c r="L46" s="45"/>
      <c r="M46" s="46"/>
      <c r="N46" s="46"/>
      <c r="O46" s="46"/>
    </row>
    <row r="47" spans="1:19" ht="15.75" customHeight="1">
      <c r="A47" s="9" t="s">
        <v>48</v>
      </c>
      <c r="C47" s="38"/>
      <c r="D47" s="57"/>
      <c r="E47" s="1"/>
      <c r="F47" s="1"/>
      <c r="G47" s="1"/>
      <c r="H47" s="1"/>
      <c r="I47" s="1"/>
      <c r="J47" s="1"/>
      <c r="K47" s="44"/>
      <c r="L47" s="45"/>
      <c r="M47" s="46"/>
      <c r="N47" s="46"/>
      <c r="O47" s="46"/>
    </row>
    <row r="48" spans="1:19" ht="14.25" customHeight="1">
      <c r="B48" s="55"/>
      <c r="C48" s="38"/>
      <c r="D48" s="57"/>
      <c r="E48" s="1"/>
      <c r="F48" s="1"/>
      <c r="G48" s="1"/>
      <c r="H48" s="1"/>
      <c r="I48" s="1"/>
      <c r="J48" s="1"/>
      <c r="K48" s="44"/>
      <c r="L48" s="45"/>
      <c r="M48" s="46"/>
      <c r="N48" s="46"/>
      <c r="O48" s="46"/>
    </row>
    <row r="49" spans="1:15" ht="39.75" customHeight="1">
      <c r="A49" s="40">
        <f>A45+1</f>
        <v>18</v>
      </c>
      <c r="B49" s="41" t="s">
        <v>115</v>
      </c>
      <c r="C49" s="1"/>
      <c r="D49" s="42" t="s">
        <v>14</v>
      </c>
      <c r="E49" s="1"/>
      <c r="F49" s="1" t="e">
        <f>#REF!*#REF!</f>
        <v>#REF!</v>
      </c>
      <c r="G49" s="1" t="e">
        <f>IF(#REF!&gt;=0,10*#REF!,0)</f>
        <v>#REF!</v>
      </c>
      <c r="H49" s="1"/>
      <c r="I49" s="85" t="s">
        <v>200</v>
      </c>
      <c r="J49" s="1"/>
      <c r="K49" s="44">
        <v>4</v>
      </c>
      <c r="L49" s="45">
        <f>K49/K117</f>
        <v>0.8</v>
      </c>
      <c r="M49" s="46">
        <f>VLOOKUP(D49,Q1:R9,2,FALSE)</f>
        <v>3</v>
      </c>
      <c r="N49" s="46">
        <f>M49*L49</f>
        <v>2.4000000000000004</v>
      </c>
      <c r="O49" s="46">
        <f>IF(M49=0,0,L49*MAX(R2:R8))</f>
        <v>4</v>
      </c>
    </row>
    <row r="50" spans="1:15" ht="12" customHeight="1">
      <c r="A50" s="40"/>
      <c r="B50" s="48"/>
      <c r="C50" s="1"/>
      <c r="D50" s="47"/>
      <c r="E50" s="1"/>
      <c r="F50" s="1"/>
      <c r="G50" s="1"/>
      <c r="H50" s="1"/>
      <c r="I50" s="1"/>
      <c r="J50" s="1"/>
      <c r="K50" s="44"/>
      <c r="L50" s="45"/>
      <c r="M50" s="46"/>
      <c r="N50" s="46"/>
      <c r="O50" s="46"/>
    </row>
    <row r="51" spans="1:15" ht="39.75" customHeight="1">
      <c r="A51" s="40">
        <f>A49+1</f>
        <v>19</v>
      </c>
      <c r="B51" s="41" t="s">
        <v>117</v>
      </c>
      <c r="C51" s="1"/>
      <c r="D51" s="42" t="s">
        <v>14</v>
      </c>
      <c r="E51" s="1"/>
      <c r="F51" s="1" t="e">
        <f>#REF!*#REF!</f>
        <v>#REF!</v>
      </c>
      <c r="G51" s="1" t="e">
        <f>IF(#REF!&gt;=0,10*#REF!,0)</f>
        <v>#REF!</v>
      </c>
      <c r="H51" s="1"/>
      <c r="I51" s="43" t="s">
        <v>201</v>
      </c>
      <c r="J51" s="1"/>
      <c r="K51" s="44">
        <v>4</v>
      </c>
      <c r="L51" s="45">
        <f>K51/K117</f>
        <v>0.8</v>
      </c>
      <c r="M51" s="46">
        <f>VLOOKUP(D51,Q1:R9,2,FALSE)</f>
        <v>3</v>
      </c>
      <c r="N51" s="46">
        <f>M51*L51</f>
        <v>2.4000000000000004</v>
      </c>
      <c r="O51" s="46">
        <f>IF(M51=0,0,L51*MAX(R2:R8))</f>
        <v>4</v>
      </c>
    </row>
    <row r="52" spans="1:15" ht="12" customHeight="1">
      <c r="A52" s="40"/>
      <c r="B52" s="48"/>
      <c r="C52" s="1"/>
      <c r="D52" s="47"/>
      <c r="E52" s="1"/>
      <c r="F52" s="1"/>
      <c r="G52" s="1"/>
      <c r="H52" s="1"/>
      <c r="I52" s="1"/>
      <c r="J52" s="1"/>
      <c r="K52" s="44"/>
      <c r="L52" s="45"/>
      <c r="M52" s="46"/>
      <c r="N52" s="46"/>
      <c r="O52" s="46"/>
    </row>
    <row r="53" spans="1:15" ht="39.75" customHeight="1">
      <c r="A53" s="40">
        <f>A51+1</f>
        <v>20</v>
      </c>
      <c r="B53" s="41" t="s">
        <v>119</v>
      </c>
      <c r="C53" s="1"/>
      <c r="D53" s="42" t="s">
        <v>6</v>
      </c>
      <c r="E53" s="1"/>
      <c r="F53" s="1" t="e">
        <f>#REF!*#REF!</f>
        <v>#REF!</v>
      </c>
      <c r="G53" s="1" t="e">
        <f>IF(#REF!&gt;=0,10*#REF!,0)</f>
        <v>#REF!</v>
      </c>
      <c r="H53" s="1"/>
      <c r="I53" s="43" t="s">
        <v>202</v>
      </c>
      <c r="J53" s="1"/>
      <c r="K53" s="44">
        <v>2</v>
      </c>
      <c r="L53" s="45">
        <f>K53/K117</f>
        <v>0.4</v>
      </c>
      <c r="M53" s="46">
        <f>VLOOKUP(D53,Q1:R9,2,FALSE)</f>
        <v>1</v>
      </c>
      <c r="N53" s="46">
        <f>M53*L53</f>
        <v>0.4</v>
      </c>
      <c r="O53" s="46">
        <f>IF(M53=0,0,L53*MAX(R2:R8))</f>
        <v>2</v>
      </c>
    </row>
    <row r="54" spans="1:15" ht="12" customHeight="1">
      <c r="A54" s="40"/>
      <c r="B54" s="48"/>
      <c r="C54" s="1"/>
      <c r="D54" s="47"/>
      <c r="E54" s="1"/>
      <c r="F54" s="1"/>
      <c r="G54" s="1"/>
      <c r="H54" s="1"/>
      <c r="I54" s="1"/>
      <c r="J54" s="1"/>
      <c r="K54" s="44"/>
      <c r="L54" s="45"/>
      <c r="M54" s="46"/>
      <c r="N54" s="46"/>
      <c r="O54" s="46"/>
    </row>
    <row r="55" spans="1:15" ht="39.75" customHeight="1">
      <c r="A55" s="40">
        <f>A53+1</f>
        <v>21</v>
      </c>
      <c r="B55" s="41" t="s">
        <v>121</v>
      </c>
      <c r="C55" s="1"/>
      <c r="D55" s="42" t="s">
        <v>34</v>
      </c>
      <c r="E55" s="1"/>
      <c r="F55" s="1" t="e">
        <f>#REF!*#REF!</f>
        <v>#REF!</v>
      </c>
      <c r="G55" s="1" t="e">
        <f>IF(#REF!&gt;=0,10*#REF!,0)</f>
        <v>#REF!</v>
      </c>
      <c r="H55" s="1"/>
      <c r="I55" s="43"/>
      <c r="J55" s="1"/>
      <c r="K55" s="44">
        <v>4</v>
      </c>
      <c r="L55" s="45">
        <f>K55/K117</f>
        <v>0.8</v>
      </c>
      <c r="M55" s="46">
        <f>VLOOKUP(D55,Q1:R9,2,FALSE)</f>
        <v>0</v>
      </c>
      <c r="N55" s="46">
        <f>M55*L55</f>
        <v>0</v>
      </c>
      <c r="O55" s="46">
        <f>IF(M55=0,0,L55*MAX(R2:R8))</f>
        <v>0</v>
      </c>
    </row>
    <row r="56" spans="1:15" ht="12" customHeight="1">
      <c r="B56" s="32"/>
      <c r="C56" s="1"/>
      <c r="D56" s="47"/>
      <c r="E56" s="1"/>
      <c r="F56" s="1"/>
      <c r="G56" s="1"/>
      <c r="H56" s="1"/>
      <c r="I56" s="1"/>
      <c r="J56" s="1"/>
      <c r="K56" s="44"/>
      <c r="L56" s="45"/>
      <c r="M56" s="46"/>
      <c r="N56" s="46"/>
      <c r="O56" s="46"/>
    </row>
    <row r="57" spans="1:15" ht="15.75" customHeight="1">
      <c r="A57" s="9" t="s">
        <v>53</v>
      </c>
      <c r="C57" s="38"/>
      <c r="D57" s="57"/>
      <c r="E57" s="38"/>
      <c r="F57" s="1"/>
      <c r="G57" s="1"/>
      <c r="H57" s="1"/>
      <c r="I57" s="1"/>
      <c r="J57" s="1"/>
      <c r="K57" s="44"/>
      <c r="L57" s="45"/>
      <c r="M57" s="46"/>
      <c r="N57" s="46"/>
      <c r="O57" s="46"/>
    </row>
    <row r="58" spans="1:15" ht="14.25" customHeight="1">
      <c r="B58" s="55"/>
      <c r="C58" s="38"/>
      <c r="D58" s="57"/>
      <c r="E58" s="38"/>
      <c r="F58" s="1"/>
      <c r="G58" s="1"/>
      <c r="H58" s="1"/>
      <c r="I58" s="1"/>
      <c r="J58" s="1"/>
      <c r="K58" s="44"/>
      <c r="L58" s="45"/>
      <c r="M58" s="46"/>
      <c r="N58" s="46"/>
      <c r="O58" s="46"/>
    </row>
    <row r="59" spans="1:15" ht="39.75" customHeight="1">
      <c r="A59" s="40">
        <f>A55+1</f>
        <v>22</v>
      </c>
      <c r="B59" s="41" t="s">
        <v>123</v>
      </c>
      <c r="C59" s="1"/>
      <c r="D59" s="42" t="s">
        <v>25</v>
      </c>
      <c r="E59" s="1"/>
      <c r="F59" s="1" t="e">
        <f>#REF!*#REF!</f>
        <v>#REF!</v>
      </c>
      <c r="G59" s="1" t="e">
        <f>IF(#REF!&gt;=0,10*#REF!,0)</f>
        <v>#REF!</v>
      </c>
      <c r="H59" s="1"/>
      <c r="I59" s="43" t="s">
        <v>203</v>
      </c>
      <c r="J59" s="1"/>
      <c r="K59" s="44">
        <v>4</v>
      </c>
      <c r="L59" s="45">
        <f>K59/K117</f>
        <v>0.8</v>
      </c>
      <c r="M59" s="46">
        <f>VLOOKUP(D59,Q1:R9,2,FALSE)</f>
        <v>5</v>
      </c>
      <c r="N59" s="46">
        <f>M59*L59</f>
        <v>4</v>
      </c>
      <c r="O59" s="46">
        <f>IF(M59=0,0,L59*MAX(R2:R8))</f>
        <v>4</v>
      </c>
    </row>
    <row r="60" spans="1:15" ht="12" customHeight="1">
      <c r="A60" s="40"/>
      <c r="B60" s="48"/>
      <c r="C60" s="1"/>
      <c r="D60" s="47"/>
      <c r="E60" s="1"/>
      <c r="F60" s="1"/>
      <c r="G60" s="1"/>
      <c r="H60" s="1"/>
      <c r="I60" s="1"/>
      <c r="J60" s="1"/>
      <c r="K60" s="44"/>
      <c r="L60" s="45"/>
      <c r="M60" s="46"/>
      <c r="N60" s="46"/>
      <c r="O60" s="46"/>
    </row>
    <row r="61" spans="1:15" ht="39.75" customHeight="1">
      <c r="A61" s="40">
        <f>A59+1</f>
        <v>23</v>
      </c>
      <c r="B61" s="41" t="s">
        <v>126</v>
      </c>
      <c r="C61" s="1"/>
      <c r="D61" s="42" t="s">
        <v>24</v>
      </c>
      <c r="E61" s="1"/>
      <c r="F61" s="1" t="e">
        <f>#REF!*#REF!</f>
        <v>#REF!</v>
      </c>
      <c r="G61" s="1" t="e">
        <f>IF(#REF!&gt;=0,10*#REF!,0)</f>
        <v>#REF!</v>
      </c>
      <c r="H61" s="1"/>
      <c r="I61" s="43" t="s">
        <v>204</v>
      </c>
      <c r="J61" s="1"/>
      <c r="K61" s="44">
        <v>3</v>
      </c>
      <c r="L61" s="45">
        <f>K61/K117</f>
        <v>0.6</v>
      </c>
      <c r="M61" s="46">
        <f>VLOOKUP(D61,Q1:R9,2,FALSE)</f>
        <v>4</v>
      </c>
      <c r="N61" s="46">
        <f>M61*L61</f>
        <v>2.4</v>
      </c>
      <c r="O61" s="46">
        <f>IF(M61=0,0,L61*MAX(R2:R8))</f>
        <v>3</v>
      </c>
    </row>
    <row r="62" spans="1:15" ht="12" customHeight="1">
      <c r="A62" s="40"/>
      <c r="B62" s="48"/>
      <c r="C62" s="1"/>
      <c r="D62" s="47"/>
      <c r="E62" s="1"/>
      <c r="F62" s="1"/>
      <c r="G62" s="1"/>
      <c r="H62" s="1"/>
      <c r="I62" s="1"/>
      <c r="J62" s="1"/>
      <c r="K62" s="44"/>
      <c r="L62" s="45"/>
      <c r="M62" s="46"/>
      <c r="N62" s="46"/>
      <c r="O62" s="46"/>
    </row>
    <row r="63" spans="1:15" ht="39.75" customHeight="1">
      <c r="A63" s="40">
        <f>A61+1</f>
        <v>24</v>
      </c>
      <c r="B63" s="41" t="s">
        <v>128</v>
      </c>
      <c r="C63" s="1"/>
      <c r="D63" s="42" t="s">
        <v>12</v>
      </c>
      <c r="E63" s="1"/>
      <c r="F63" s="1" t="e">
        <f>#REF!*#REF!</f>
        <v>#REF!</v>
      </c>
      <c r="G63" s="1" t="e">
        <f>IF(#REF!&gt;=0,10*#REF!,0)</f>
        <v>#REF!</v>
      </c>
      <c r="H63" s="1"/>
      <c r="I63" s="43" t="s">
        <v>205</v>
      </c>
      <c r="J63" s="1"/>
      <c r="K63" s="44">
        <v>1</v>
      </c>
      <c r="L63" s="45">
        <f>K63/K117</f>
        <v>0.2</v>
      </c>
      <c r="M63" s="46">
        <f>VLOOKUP(D63,Q1:R9,2,FALSE)</f>
        <v>2</v>
      </c>
      <c r="N63" s="46">
        <f>M63*L63</f>
        <v>0.4</v>
      </c>
      <c r="O63" s="46">
        <f>IF(M63=0,0,L63*MAX(R2:R8))</f>
        <v>1</v>
      </c>
    </row>
    <row r="64" spans="1:15" ht="12" customHeight="1">
      <c r="B64" s="31"/>
      <c r="C64" s="1"/>
      <c r="D64" s="47"/>
      <c r="E64" s="1"/>
      <c r="F64" s="1"/>
      <c r="G64" s="1"/>
      <c r="H64" s="1"/>
      <c r="I64" s="1"/>
      <c r="J64" s="1"/>
      <c r="K64" s="44"/>
      <c r="L64" s="45"/>
      <c r="M64" s="46"/>
      <c r="N64" s="46"/>
      <c r="O64" s="46"/>
    </row>
    <row r="65" spans="1:15" ht="15.75" customHeight="1">
      <c r="A65" s="9" t="s">
        <v>57</v>
      </c>
      <c r="C65" s="38"/>
      <c r="D65" s="57"/>
      <c r="E65" s="38"/>
      <c r="F65" s="1"/>
      <c r="G65" s="1"/>
      <c r="H65" s="1"/>
      <c r="I65" s="1"/>
      <c r="J65" s="1"/>
      <c r="K65" s="44"/>
      <c r="L65" s="45"/>
      <c r="M65" s="46"/>
      <c r="N65" s="46"/>
      <c r="O65" s="46"/>
    </row>
    <row r="66" spans="1:15" ht="14.25" customHeight="1">
      <c r="B66" s="55"/>
      <c r="C66" s="38"/>
      <c r="D66" s="57"/>
      <c r="E66" s="38"/>
      <c r="F66" s="1"/>
      <c r="G66" s="1"/>
      <c r="H66" s="1"/>
      <c r="I66" s="1"/>
      <c r="J66" s="1"/>
      <c r="K66" s="44"/>
      <c r="L66" s="45"/>
      <c r="M66" s="46"/>
      <c r="N66" s="46"/>
      <c r="O66" s="46"/>
    </row>
    <row r="67" spans="1:15" ht="39.75" customHeight="1">
      <c r="A67" s="40">
        <f>A63+1</f>
        <v>25</v>
      </c>
      <c r="B67" s="41" t="s">
        <v>130</v>
      </c>
      <c r="C67" s="1"/>
      <c r="D67" s="42" t="s">
        <v>6</v>
      </c>
      <c r="E67" s="1"/>
      <c r="F67" s="1" t="e">
        <f>#REF!*#REF!</f>
        <v>#REF!</v>
      </c>
      <c r="G67" s="1" t="e">
        <f>IF(#REF!&gt;=0,10*#REF!,0)</f>
        <v>#REF!</v>
      </c>
      <c r="H67" s="1"/>
      <c r="I67" s="43" t="s">
        <v>206</v>
      </c>
      <c r="J67" s="1"/>
      <c r="K67" s="44">
        <v>3</v>
      </c>
      <c r="L67" s="45">
        <f>K67/K117</f>
        <v>0.6</v>
      </c>
      <c r="M67" s="46">
        <f>VLOOKUP(D67,Q1:R9,2,FALSE)</f>
        <v>1</v>
      </c>
      <c r="N67" s="46">
        <f>M67*L67</f>
        <v>0.6</v>
      </c>
      <c r="O67" s="46">
        <f>IF(M67=0,0,L67*MAX(R2:R8))</f>
        <v>3</v>
      </c>
    </row>
    <row r="68" spans="1:15" ht="12" customHeight="1">
      <c r="A68" s="40"/>
      <c r="B68" s="48"/>
      <c r="C68" s="1"/>
      <c r="D68" s="47"/>
      <c r="E68" s="1"/>
      <c r="F68" s="1"/>
      <c r="G68" s="1"/>
      <c r="H68" s="1"/>
      <c r="I68" s="1"/>
      <c r="J68" s="1"/>
      <c r="K68" s="44"/>
      <c r="L68" s="45"/>
      <c r="M68" s="46"/>
      <c r="N68" s="46"/>
      <c r="O68" s="46"/>
    </row>
    <row r="69" spans="1:15" ht="39.75" customHeight="1">
      <c r="A69" s="40">
        <f>A67+1</f>
        <v>26</v>
      </c>
      <c r="B69" s="41" t="s">
        <v>132</v>
      </c>
      <c r="C69" s="1"/>
      <c r="D69" s="42" t="s">
        <v>24</v>
      </c>
      <c r="E69" s="1"/>
      <c r="F69" s="1" t="e">
        <f>#REF!*#REF!</f>
        <v>#REF!</v>
      </c>
      <c r="G69" s="1" t="e">
        <f>IF(#REF!&gt;=0,10*#REF!,0)</f>
        <v>#REF!</v>
      </c>
      <c r="H69" s="1"/>
      <c r="I69" s="43" t="s">
        <v>207</v>
      </c>
      <c r="J69" s="1"/>
      <c r="K69" s="44">
        <v>2</v>
      </c>
      <c r="L69" s="45">
        <f>K69/K117</f>
        <v>0.4</v>
      </c>
      <c r="M69" s="46">
        <f>VLOOKUP(D69,Q1:R9,2,FALSE)</f>
        <v>4</v>
      </c>
      <c r="N69" s="46">
        <f>M69*L69</f>
        <v>1.6</v>
      </c>
      <c r="O69" s="46">
        <f>IF(M69=0,0,L69*MAX(R2:R8))</f>
        <v>2</v>
      </c>
    </row>
    <row r="70" spans="1:15" ht="12" customHeight="1">
      <c r="A70" s="40"/>
      <c r="B70" s="48"/>
      <c r="C70" s="1"/>
      <c r="D70" s="47"/>
      <c r="E70" s="1"/>
      <c r="F70" s="1"/>
      <c r="G70" s="1"/>
      <c r="H70" s="1"/>
      <c r="I70" s="1"/>
      <c r="J70" s="1"/>
      <c r="K70" s="44"/>
      <c r="L70" s="45"/>
      <c r="M70" s="46"/>
      <c r="N70" s="46"/>
      <c r="O70" s="46"/>
    </row>
    <row r="71" spans="1:15" ht="39.75" customHeight="1">
      <c r="A71" s="40">
        <f>A69+1</f>
        <v>27</v>
      </c>
      <c r="B71" s="41" t="s">
        <v>133</v>
      </c>
      <c r="C71" s="1"/>
      <c r="D71" s="42" t="s">
        <v>6</v>
      </c>
      <c r="E71" s="1"/>
      <c r="F71" s="1" t="e">
        <f>#REF!*#REF!</f>
        <v>#REF!</v>
      </c>
      <c r="G71" s="1" t="e">
        <f>IF(#REF!&gt;=0,10*#REF!,0)</f>
        <v>#REF!</v>
      </c>
      <c r="H71" s="1"/>
      <c r="I71" s="43" t="s">
        <v>208</v>
      </c>
      <c r="J71" s="1"/>
      <c r="K71" s="44">
        <v>2</v>
      </c>
      <c r="L71" s="45">
        <f>K71/K117</f>
        <v>0.4</v>
      </c>
      <c r="M71" s="46">
        <f>VLOOKUP(D71,Q1:R9,2,FALSE)</f>
        <v>1</v>
      </c>
      <c r="N71" s="46">
        <f>M71*L71</f>
        <v>0.4</v>
      </c>
      <c r="O71" s="46">
        <f>IF(M71=0,0,L71*MAX(R2:R8))</f>
        <v>2</v>
      </c>
    </row>
    <row r="72" spans="1:15" ht="12" customHeight="1">
      <c r="A72" s="40"/>
      <c r="B72" s="48"/>
      <c r="C72" s="1"/>
      <c r="D72" s="47"/>
      <c r="E72" s="1"/>
      <c r="F72" s="1"/>
      <c r="G72" s="1"/>
      <c r="H72" s="1"/>
      <c r="I72" s="1"/>
      <c r="J72" s="1"/>
      <c r="K72" s="44"/>
      <c r="L72" s="45"/>
      <c r="M72" s="46"/>
      <c r="N72" s="46"/>
      <c r="O72" s="46"/>
    </row>
    <row r="73" spans="1:15" ht="39.75" customHeight="1">
      <c r="A73" s="40">
        <f>A71+1</f>
        <v>28</v>
      </c>
      <c r="B73" s="41" t="s">
        <v>135</v>
      </c>
      <c r="C73" s="1"/>
      <c r="D73" s="42" t="s">
        <v>14</v>
      </c>
      <c r="E73" s="1"/>
      <c r="F73" s="1" t="e">
        <f>#REF!*#REF!</f>
        <v>#REF!</v>
      </c>
      <c r="G73" s="1" t="e">
        <f>IF(#REF!&gt;=0,10*#REF!,0)</f>
        <v>#REF!</v>
      </c>
      <c r="H73" s="1"/>
      <c r="I73" s="43" t="s">
        <v>209</v>
      </c>
      <c r="J73" s="1"/>
      <c r="K73" s="44">
        <v>3</v>
      </c>
      <c r="L73" s="45">
        <f>K73/K117</f>
        <v>0.6</v>
      </c>
      <c r="M73" s="46">
        <f>VLOOKUP(D73,Q1:R9,2,FALSE)</f>
        <v>3</v>
      </c>
      <c r="N73" s="46">
        <f>M73*L73</f>
        <v>1.7999999999999998</v>
      </c>
      <c r="O73" s="46">
        <f>IF(M73=0,0,L73*MAX(R2:R8))</f>
        <v>3</v>
      </c>
    </row>
    <row r="74" spans="1:15" ht="12" customHeight="1">
      <c r="A74" s="40"/>
      <c r="B74" s="48"/>
      <c r="C74" s="1"/>
      <c r="D74" s="47"/>
      <c r="E74" s="1"/>
      <c r="F74" s="1"/>
      <c r="G74" s="1"/>
      <c r="H74" s="1"/>
      <c r="I74" s="1"/>
      <c r="J74" s="1"/>
      <c r="K74" s="44"/>
      <c r="L74" s="45"/>
      <c r="M74" s="46"/>
      <c r="N74" s="46"/>
      <c r="O74" s="46"/>
    </row>
    <row r="75" spans="1:15" ht="39.75" customHeight="1">
      <c r="A75" s="40">
        <f>A73+1</f>
        <v>29</v>
      </c>
      <c r="B75" s="41" t="s">
        <v>137</v>
      </c>
      <c r="C75" s="1"/>
      <c r="D75" s="42" t="s">
        <v>14</v>
      </c>
      <c r="E75" s="1"/>
      <c r="F75" s="1" t="e">
        <f>#REF!*#REF!</f>
        <v>#REF!</v>
      </c>
      <c r="G75" s="1" t="e">
        <f>IF(#REF!&gt;=0,10*#REF!,0)</f>
        <v>#REF!</v>
      </c>
      <c r="H75" s="1"/>
      <c r="I75" s="43" t="s">
        <v>210</v>
      </c>
      <c r="J75" s="1"/>
      <c r="K75" s="44">
        <v>3</v>
      </c>
      <c r="L75" s="45">
        <f>K75/K117</f>
        <v>0.6</v>
      </c>
      <c r="M75" s="46">
        <f>VLOOKUP(D75,Q1:R9,2,FALSE)</f>
        <v>3</v>
      </c>
      <c r="N75" s="46">
        <f>M75*L75</f>
        <v>1.7999999999999998</v>
      </c>
      <c r="O75" s="46">
        <f>IF(M75=0,0,L75*MAX(R2:R8))</f>
        <v>3</v>
      </c>
    </row>
    <row r="76" spans="1:15" ht="12" customHeight="1">
      <c r="B76" s="32"/>
      <c r="C76" s="1"/>
      <c r="D76" s="47"/>
      <c r="E76" s="1"/>
      <c r="F76" s="1"/>
      <c r="G76" s="1"/>
      <c r="H76" s="1"/>
      <c r="I76" s="1"/>
      <c r="J76" s="1"/>
      <c r="K76" s="44"/>
      <c r="L76" s="45"/>
      <c r="M76" s="46"/>
      <c r="N76" s="46"/>
      <c r="O76" s="46"/>
    </row>
    <row r="77" spans="1:15" ht="15.75" customHeight="1">
      <c r="A77" s="9" t="s">
        <v>63</v>
      </c>
      <c r="C77" s="38"/>
      <c r="D77" s="57"/>
      <c r="E77" s="1"/>
      <c r="F77" s="1"/>
      <c r="G77" s="1"/>
      <c r="H77" s="1"/>
      <c r="I77" s="1"/>
      <c r="J77" s="1"/>
      <c r="K77" s="44"/>
      <c r="L77" s="45"/>
      <c r="M77" s="46"/>
      <c r="N77" s="46"/>
      <c r="O77" s="46"/>
    </row>
    <row r="78" spans="1:15" ht="14.25" customHeight="1">
      <c r="B78" s="55"/>
      <c r="C78" s="38"/>
      <c r="D78" s="57"/>
      <c r="E78" s="1"/>
      <c r="F78" s="1"/>
      <c r="G78" s="1"/>
      <c r="H78" s="1"/>
      <c r="I78" s="1"/>
      <c r="J78" s="1"/>
      <c r="K78" s="44"/>
      <c r="L78" s="45"/>
      <c r="M78" s="46"/>
      <c r="N78" s="46"/>
      <c r="O78" s="46"/>
    </row>
    <row r="79" spans="1:15" ht="39.75" customHeight="1">
      <c r="A79" s="40">
        <f>A75+1</f>
        <v>30</v>
      </c>
      <c r="B79" s="41" t="s">
        <v>139</v>
      </c>
      <c r="C79" s="1"/>
      <c r="D79" s="42" t="s">
        <v>25</v>
      </c>
      <c r="E79" s="1"/>
      <c r="F79" s="1" t="e">
        <f>#REF!*#REF!</f>
        <v>#REF!</v>
      </c>
      <c r="G79" s="1" t="e">
        <f>IF(#REF!&gt;=0,10*#REF!,0)</f>
        <v>#REF!</v>
      </c>
      <c r="H79" s="1"/>
      <c r="I79" s="43" t="s">
        <v>211</v>
      </c>
      <c r="J79" s="1"/>
      <c r="K79" s="44">
        <v>4</v>
      </c>
      <c r="L79" s="45">
        <f>K79/K117</f>
        <v>0.8</v>
      </c>
      <c r="M79" s="46">
        <f>VLOOKUP(D79,Q1:R9,2,FALSE)</f>
        <v>5</v>
      </c>
      <c r="N79" s="46">
        <f>M79*L79</f>
        <v>4</v>
      </c>
      <c r="O79" s="46">
        <f>IF(M79=0,0,L79*MAX(R2:R8))</f>
        <v>4</v>
      </c>
    </row>
    <row r="80" spans="1:15" ht="12" customHeight="1">
      <c r="A80" s="40"/>
      <c r="B80" s="48"/>
      <c r="C80" s="1"/>
      <c r="D80" s="47"/>
      <c r="E80" s="1"/>
      <c r="F80" s="1"/>
      <c r="G80" s="1"/>
      <c r="H80" s="1"/>
      <c r="I80" s="1"/>
      <c r="J80" s="1"/>
      <c r="K80" s="44"/>
      <c r="L80" s="45"/>
      <c r="M80" s="46"/>
      <c r="N80" s="46"/>
      <c r="O80" s="46"/>
    </row>
    <row r="81" spans="1:15" ht="39.75" customHeight="1">
      <c r="A81" s="40">
        <f>A79+1</f>
        <v>31</v>
      </c>
      <c r="B81" s="41" t="s">
        <v>141</v>
      </c>
      <c r="C81" s="1"/>
      <c r="D81" s="42" t="s">
        <v>25</v>
      </c>
      <c r="E81" s="1"/>
      <c r="F81" s="1" t="e">
        <f>#REF!*#REF!</f>
        <v>#REF!</v>
      </c>
      <c r="G81" s="1" t="e">
        <f>IF(#REF!&gt;=0,10*#REF!,0)</f>
        <v>#REF!</v>
      </c>
      <c r="H81" s="1"/>
      <c r="I81" s="43" t="s">
        <v>212</v>
      </c>
      <c r="J81" s="1"/>
      <c r="K81" s="44">
        <v>3</v>
      </c>
      <c r="L81" s="45">
        <f>K81/K117</f>
        <v>0.6</v>
      </c>
      <c r="M81" s="46">
        <f>VLOOKUP(D81,Q1:R9,2,FALSE)</f>
        <v>5</v>
      </c>
      <c r="N81" s="46">
        <f>M81*L81</f>
        <v>3</v>
      </c>
      <c r="O81" s="46">
        <f>IF(M81=0,0,L81*MAX(R2:R8))</f>
        <v>3</v>
      </c>
    </row>
    <row r="82" spans="1:15" ht="12" customHeight="1">
      <c r="A82" s="40"/>
      <c r="B82" s="48"/>
      <c r="C82" s="1"/>
      <c r="D82" s="47"/>
      <c r="E82" s="1"/>
      <c r="F82" s="1"/>
      <c r="G82" s="1"/>
      <c r="H82" s="1"/>
      <c r="I82" s="1"/>
      <c r="J82" s="1"/>
      <c r="K82" s="44"/>
      <c r="L82" s="45"/>
      <c r="M82" s="46"/>
      <c r="N82" s="46"/>
      <c r="O82" s="46"/>
    </row>
    <row r="83" spans="1:15" ht="39.75" customHeight="1">
      <c r="A83" s="40">
        <f>A81+1</f>
        <v>32</v>
      </c>
      <c r="B83" s="41" t="s">
        <v>148</v>
      </c>
      <c r="C83" s="1"/>
      <c r="D83" s="42" t="s">
        <v>25</v>
      </c>
      <c r="E83" s="1"/>
      <c r="F83" s="1" t="e">
        <f>#REF!*#REF!</f>
        <v>#REF!</v>
      </c>
      <c r="G83" s="1" t="e">
        <f>IF(#REF!&gt;=0,10*#REF!,0)</f>
        <v>#REF!</v>
      </c>
      <c r="H83" s="1"/>
      <c r="I83" s="43" t="s">
        <v>213</v>
      </c>
      <c r="J83" s="1"/>
      <c r="K83" s="44">
        <v>3</v>
      </c>
      <c r="L83" s="45">
        <f>K83/K117</f>
        <v>0.6</v>
      </c>
      <c r="M83" s="46">
        <f>VLOOKUP(D83,Q1:R9,2,FALSE)</f>
        <v>5</v>
      </c>
      <c r="N83" s="46">
        <f>M83*L83</f>
        <v>3</v>
      </c>
      <c r="O83" s="46">
        <f>IF(M83=0,0,L83*MAX(R2:R8))</f>
        <v>3</v>
      </c>
    </row>
    <row r="84" spans="1:15" ht="12" customHeight="1">
      <c r="A84" s="40"/>
      <c r="B84" s="48"/>
      <c r="C84" s="1"/>
      <c r="D84" s="47"/>
      <c r="E84" s="1"/>
      <c r="F84" s="1"/>
      <c r="G84" s="1"/>
      <c r="H84" s="1"/>
      <c r="I84" s="1"/>
      <c r="J84" s="1"/>
      <c r="K84" s="44"/>
      <c r="L84" s="45"/>
      <c r="M84" s="46"/>
      <c r="N84" s="46"/>
      <c r="O84" s="46"/>
    </row>
    <row r="85" spans="1:15" ht="39.75" customHeight="1">
      <c r="A85" s="40">
        <f>A83+1</f>
        <v>33</v>
      </c>
      <c r="B85" s="41" t="s">
        <v>153</v>
      </c>
      <c r="C85" s="1"/>
      <c r="D85" s="42" t="s">
        <v>24</v>
      </c>
      <c r="E85" s="1"/>
      <c r="F85" s="1" t="e">
        <f>#REF!*#REF!</f>
        <v>#REF!</v>
      </c>
      <c r="G85" s="1" t="e">
        <f>IF(#REF!&gt;=0,10*#REF!,0)</f>
        <v>#REF!</v>
      </c>
      <c r="H85" s="1"/>
      <c r="I85" s="43" t="s">
        <v>214</v>
      </c>
      <c r="J85" s="1"/>
      <c r="K85" s="44">
        <v>3</v>
      </c>
      <c r="L85" s="45">
        <f>K85/K117</f>
        <v>0.6</v>
      </c>
      <c r="M85" s="46">
        <f>VLOOKUP(D85,Q1:R9,2,FALSE)</f>
        <v>4</v>
      </c>
      <c r="N85" s="46">
        <f>M85*L85</f>
        <v>2.4</v>
      </c>
      <c r="O85" s="46">
        <f>IF(M85=0,0,L85*MAX(R2:R8))</f>
        <v>3</v>
      </c>
    </row>
    <row r="86" spans="1:15" ht="12" customHeight="1">
      <c r="B86" s="32"/>
      <c r="C86" s="1"/>
      <c r="D86" s="47"/>
      <c r="E86" s="1"/>
      <c r="F86" s="1"/>
      <c r="G86" s="1"/>
      <c r="H86" s="1"/>
      <c r="I86" s="1"/>
      <c r="J86" s="1"/>
      <c r="K86" s="44"/>
      <c r="L86" s="45"/>
      <c r="M86" s="46"/>
      <c r="N86" s="46"/>
      <c r="O86" s="46"/>
    </row>
    <row r="87" spans="1:15" ht="15.75" customHeight="1">
      <c r="A87" s="9" t="s">
        <v>70</v>
      </c>
      <c r="C87" s="38"/>
      <c r="D87" s="57"/>
      <c r="E87" s="38"/>
      <c r="F87" s="1"/>
      <c r="G87" s="1"/>
      <c r="H87" s="1"/>
      <c r="I87" s="1"/>
      <c r="J87" s="1"/>
      <c r="K87" s="44"/>
      <c r="L87" s="45"/>
      <c r="M87" s="46"/>
      <c r="N87" s="46"/>
      <c r="O87" s="46"/>
    </row>
    <row r="88" spans="1:15" ht="14.25" customHeight="1">
      <c r="B88" s="55"/>
      <c r="C88" s="38"/>
      <c r="D88" s="57"/>
      <c r="E88" s="38"/>
      <c r="F88" s="1"/>
      <c r="G88" s="1"/>
      <c r="H88" s="1"/>
      <c r="I88" s="1"/>
      <c r="J88" s="1"/>
      <c r="K88" s="44"/>
      <c r="L88" s="45"/>
      <c r="M88" s="46"/>
      <c r="N88" s="46"/>
      <c r="O88" s="46"/>
    </row>
    <row r="89" spans="1:15" ht="39.75" customHeight="1">
      <c r="A89" s="40">
        <f>A85+1</f>
        <v>34</v>
      </c>
      <c r="B89" s="41" t="s">
        <v>156</v>
      </c>
      <c r="C89" s="1"/>
      <c r="D89" s="42" t="s">
        <v>24</v>
      </c>
      <c r="E89" s="1"/>
      <c r="F89" s="1" t="e">
        <f>#REF!*#REF!</f>
        <v>#REF!</v>
      </c>
      <c r="G89" s="1" t="e">
        <f>IF(#REF!&gt;=0,10*#REF!,0)</f>
        <v>#REF!</v>
      </c>
      <c r="H89" s="1"/>
      <c r="I89" s="43" t="s">
        <v>215</v>
      </c>
      <c r="J89" s="1"/>
      <c r="K89" s="44">
        <v>5</v>
      </c>
      <c r="L89" s="45">
        <f>K89/K117</f>
        <v>1</v>
      </c>
      <c r="M89" s="46">
        <f>VLOOKUP(D89,Q1:R9,2,FALSE)</f>
        <v>4</v>
      </c>
      <c r="N89" s="46">
        <f>M89*L89</f>
        <v>4</v>
      </c>
      <c r="O89" s="46">
        <f>IF(M89=0,0,L89*MAX(R2:R8))</f>
        <v>5</v>
      </c>
    </row>
    <row r="90" spans="1:15" ht="12" customHeight="1" thickBot="1">
      <c r="A90" s="40"/>
      <c r="B90" s="48"/>
      <c r="C90" s="1"/>
      <c r="D90" s="47"/>
      <c r="E90" s="1"/>
      <c r="F90" s="1"/>
      <c r="G90" s="1"/>
      <c r="H90" s="1"/>
      <c r="I90" s="1"/>
      <c r="J90" s="1"/>
      <c r="K90" s="44"/>
      <c r="L90" s="45"/>
      <c r="M90" s="46"/>
      <c r="N90" s="46"/>
      <c r="O90" s="46"/>
    </row>
    <row r="91" spans="1:15" ht="39.75" customHeight="1" thickBot="1">
      <c r="A91" s="40">
        <f>A89+1</f>
        <v>35</v>
      </c>
      <c r="B91" s="41" t="s">
        <v>158</v>
      </c>
      <c r="C91" s="1"/>
      <c r="D91" s="42" t="s">
        <v>24</v>
      </c>
      <c r="E91" s="1"/>
      <c r="F91" s="1" t="e">
        <f>#REF!*#REF!</f>
        <v>#REF!</v>
      </c>
      <c r="G91" s="1" t="e">
        <f>IF(#REF!&gt;=0,10*#REF!,0)</f>
        <v>#REF!</v>
      </c>
      <c r="H91" s="1"/>
      <c r="I91" s="43" t="s">
        <v>216</v>
      </c>
      <c r="J91" s="1"/>
      <c r="K91" s="44">
        <v>2</v>
      </c>
      <c r="L91" s="45">
        <f>K91/K117</f>
        <v>0.4</v>
      </c>
      <c r="M91" s="46">
        <f>VLOOKUP(D91,Q1:R9,2,FALSE)</f>
        <v>4</v>
      </c>
      <c r="N91" s="46">
        <f>M91*L91</f>
        <v>1.6</v>
      </c>
      <c r="O91" s="46">
        <f>IF(M91=0,0,L91*MAX(R2:R8))</f>
        <v>2</v>
      </c>
    </row>
    <row r="92" spans="1:15" ht="12" customHeight="1" thickBot="1">
      <c r="A92" s="40"/>
      <c r="B92" s="48"/>
      <c r="C92" s="1"/>
      <c r="D92" s="47"/>
      <c r="E92" s="1"/>
      <c r="F92" s="1"/>
      <c r="G92" s="1"/>
      <c r="H92" s="1"/>
      <c r="I92" s="1"/>
      <c r="J92" s="1"/>
      <c r="K92" s="44"/>
      <c r="L92" s="45"/>
      <c r="M92" s="46"/>
      <c r="N92" s="46"/>
      <c r="O92" s="46"/>
    </row>
    <row r="93" spans="1:15" ht="39.75" customHeight="1">
      <c r="A93" s="40">
        <f>A91+1</f>
        <v>36</v>
      </c>
      <c r="B93" s="41" t="s">
        <v>160</v>
      </c>
      <c r="C93" s="1"/>
      <c r="D93" s="42" t="s">
        <v>12</v>
      </c>
      <c r="E93" s="1"/>
      <c r="F93" s="1" t="e">
        <f>#REF!*#REF!</f>
        <v>#REF!</v>
      </c>
      <c r="G93" s="1" t="e">
        <f>IF(#REF!&gt;=0,10*#REF!,0)</f>
        <v>#REF!</v>
      </c>
      <c r="H93" s="1"/>
      <c r="I93" s="43" t="s">
        <v>217</v>
      </c>
      <c r="J93" s="1"/>
      <c r="K93" s="44">
        <v>4</v>
      </c>
      <c r="L93" s="45">
        <f>K93/K117</f>
        <v>0.8</v>
      </c>
      <c r="M93" s="46">
        <f>VLOOKUP(D93,Q1:R9,2,FALSE)</f>
        <v>2</v>
      </c>
      <c r="N93" s="46">
        <f>M93*L93</f>
        <v>1.6</v>
      </c>
      <c r="O93" s="46">
        <f>IF(M93=0,0,L93*MAX(R2:R8))</f>
        <v>4</v>
      </c>
    </row>
    <row r="94" spans="1:15" ht="12" customHeight="1">
      <c r="A94" s="40"/>
      <c r="B94" s="48"/>
      <c r="C94" s="1"/>
      <c r="D94" s="47"/>
      <c r="E94" s="1"/>
      <c r="F94" s="1"/>
      <c r="G94" s="1"/>
      <c r="H94" s="1"/>
      <c r="I94" s="1"/>
      <c r="J94" s="1"/>
      <c r="K94" s="44"/>
      <c r="L94" s="45"/>
      <c r="M94" s="46"/>
      <c r="N94" s="46"/>
      <c r="O94" s="46"/>
    </row>
    <row r="95" spans="1:15" ht="39.75" customHeight="1">
      <c r="A95" s="40">
        <f>A93+1</f>
        <v>37</v>
      </c>
      <c r="B95" s="41" t="s">
        <v>162</v>
      </c>
      <c r="C95" s="1"/>
      <c r="D95" s="42" t="s">
        <v>24</v>
      </c>
      <c r="E95" s="1"/>
      <c r="F95" s="1" t="e">
        <f>#REF!*#REF!</f>
        <v>#REF!</v>
      </c>
      <c r="G95" s="1" t="e">
        <f>IF(#REF!&gt;=0,10*#REF!,0)</f>
        <v>#REF!</v>
      </c>
      <c r="H95" s="1"/>
      <c r="I95" s="43" t="s">
        <v>218</v>
      </c>
      <c r="J95" s="1"/>
      <c r="K95" s="44">
        <v>3</v>
      </c>
      <c r="L95" s="45">
        <f>K95/K117</f>
        <v>0.6</v>
      </c>
      <c r="M95" s="46">
        <f>VLOOKUP(D95,Q1:R9,2,FALSE)</f>
        <v>4</v>
      </c>
      <c r="N95" s="46">
        <f>M95*L95</f>
        <v>2.4</v>
      </c>
      <c r="O95" s="46">
        <f>IF(M95=0,0,L95*MAX(R2:R8))</f>
        <v>3</v>
      </c>
    </row>
    <row r="96" spans="1:15" ht="12" customHeight="1" thickBot="1">
      <c r="A96" s="40"/>
      <c r="B96" s="48"/>
      <c r="C96" s="1"/>
      <c r="D96" s="47"/>
      <c r="E96" s="1"/>
      <c r="F96" s="1"/>
      <c r="G96" s="1"/>
      <c r="H96" s="1"/>
      <c r="I96" s="1"/>
      <c r="J96" s="1"/>
      <c r="K96" s="44"/>
      <c r="L96" s="45"/>
      <c r="M96" s="46"/>
      <c r="N96" s="46"/>
      <c r="O96" s="46"/>
    </row>
    <row r="97" spans="1:26" ht="39.75" customHeight="1" thickBot="1">
      <c r="A97" s="40">
        <f>A95+1</f>
        <v>38</v>
      </c>
      <c r="B97" s="41" t="s">
        <v>164</v>
      </c>
      <c r="C97" s="1"/>
      <c r="D97" s="42" t="s">
        <v>25</v>
      </c>
      <c r="E97" s="42" t="s">
        <v>4</v>
      </c>
      <c r="F97" s="42" t="s">
        <v>4</v>
      </c>
      <c r="G97" s="42" t="s">
        <v>4</v>
      </c>
      <c r="H97" s="1"/>
      <c r="I97" s="43" t="s">
        <v>219</v>
      </c>
      <c r="J97" s="1"/>
      <c r="K97" s="44">
        <v>3</v>
      </c>
      <c r="L97" s="45">
        <f>K97/K117</f>
        <v>0.6</v>
      </c>
      <c r="M97" s="46">
        <f>VLOOKUP(D97,Q1:R9,2,FALSE)</f>
        <v>5</v>
      </c>
      <c r="N97" s="46">
        <f>M97*L97</f>
        <v>3</v>
      </c>
      <c r="O97" s="46">
        <f>IF(M97=0,0,L97*MAX(R2:R8))</f>
        <v>3</v>
      </c>
    </row>
    <row r="98" spans="1:26" ht="12" customHeight="1">
      <c r="B98" s="32"/>
      <c r="C98" s="1"/>
      <c r="D98" s="47"/>
      <c r="E98" s="1"/>
      <c r="F98" s="1"/>
      <c r="G98" s="1"/>
      <c r="H98" s="1"/>
      <c r="I98" s="1"/>
      <c r="J98" s="1"/>
      <c r="K98" s="44"/>
      <c r="L98" s="45"/>
      <c r="M98" s="46"/>
      <c r="N98" s="46"/>
      <c r="O98" s="46"/>
    </row>
    <row r="99" spans="1:26" ht="15.75" customHeight="1">
      <c r="A99" s="9" t="s">
        <v>76</v>
      </c>
      <c r="C99" s="38"/>
      <c r="D99" s="57"/>
      <c r="E99" s="38"/>
      <c r="F99" s="1"/>
      <c r="G99" s="1"/>
      <c r="H99" s="1"/>
      <c r="I99" s="1"/>
      <c r="J99" s="1"/>
      <c r="K99" s="44"/>
      <c r="L99" s="45"/>
      <c r="M99" s="46"/>
      <c r="N99" s="46"/>
      <c r="O99" s="46"/>
    </row>
    <row r="100" spans="1:26" ht="14.25" customHeight="1" thickBot="1">
      <c r="B100" s="55"/>
      <c r="C100" s="38"/>
      <c r="D100" s="57"/>
      <c r="E100" s="38"/>
      <c r="F100" s="1"/>
      <c r="G100" s="1"/>
      <c r="H100" s="1"/>
      <c r="I100" s="1"/>
      <c r="J100" s="1"/>
      <c r="K100" s="44"/>
      <c r="L100" s="45"/>
      <c r="M100" s="46"/>
      <c r="N100" s="46"/>
      <c r="O100" s="46"/>
    </row>
    <row r="101" spans="1:26" ht="39.75" customHeight="1" thickBot="1">
      <c r="A101" s="40">
        <f>A97+1</f>
        <v>39</v>
      </c>
      <c r="B101" s="41" t="s">
        <v>168</v>
      </c>
      <c r="C101" s="1"/>
      <c r="D101" s="42" t="s">
        <v>6</v>
      </c>
      <c r="E101" s="1"/>
      <c r="F101" s="1" t="e">
        <f>#REF!*#REF!</f>
        <v>#REF!</v>
      </c>
      <c r="G101" s="1" t="e">
        <f>IF(#REF!&gt;=0,10*#REF!,0)</f>
        <v>#REF!</v>
      </c>
      <c r="H101" s="1"/>
      <c r="I101" s="43" t="s">
        <v>220</v>
      </c>
      <c r="J101" s="1"/>
      <c r="K101" s="44">
        <v>4</v>
      </c>
      <c r="L101" s="45">
        <f>K101/K117</f>
        <v>0.8</v>
      </c>
      <c r="M101" s="46">
        <f>VLOOKUP(D101,Q1:R9,2,FALSE)</f>
        <v>1</v>
      </c>
      <c r="N101" s="46">
        <f>M101*L101</f>
        <v>0.8</v>
      </c>
      <c r="O101" s="46">
        <f>IF(M101=0,0,L101*MAX(R2:R8))</f>
        <v>4</v>
      </c>
    </row>
    <row r="102" spans="1:26" ht="12" customHeight="1" thickBot="1">
      <c r="A102" s="40"/>
      <c r="B102" s="48"/>
      <c r="C102" s="1"/>
      <c r="D102" s="47"/>
      <c r="E102" s="1"/>
      <c r="F102" s="1"/>
      <c r="G102" s="1"/>
      <c r="H102" s="1"/>
      <c r="I102" s="1"/>
      <c r="J102" s="1"/>
      <c r="K102" s="44"/>
      <c r="L102" s="45"/>
      <c r="M102" s="46"/>
      <c r="N102" s="46"/>
      <c r="O102" s="46"/>
    </row>
    <row r="103" spans="1:26" ht="39.75" customHeight="1">
      <c r="A103" s="40">
        <f>A101+1</f>
        <v>40</v>
      </c>
      <c r="B103" s="41" t="s">
        <v>170</v>
      </c>
      <c r="C103" s="1"/>
      <c r="D103" s="42" t="s">
        <v>34</v>
      </c>
      <c r="E103" s="1"/>
      <c r="F103" s="1" t="e">
        <f>#REF!*#REF!</f>
        <v>#REF!</v>
      </c>
      <c r="G103" s="1" t="e">
        <f>IF(#REF!&gt;=0,10*#REF!,0)</f>
        <v>#REF!</v>
      </c>
      <c r="H103" s="1"/>
      <c r="I103" s="43"/>
      <c r="J103" s="1"/>
      <c r="K103" s="44">
        <v>3</v>
      </c>
      <c r="L103" s="45">
        <f>K103/K117</f>
        <v>0.6</v>
      </c>
      <c r="M103" s="46">
        <f>VLOOKUP(D103,Q1:R9,2,FALSE)</f>
        <v>0</v>
      </c>
      <c r="N103" s="46">
        <f>M103*L103</f>
        <v>0</v>
      </c>
      <c r="O103" s="46">
        <f>IF(M103=0,0,L103*MAX(R2:R8))</f>
        <v>0</v>
      </c>
    </row>
    <row r="104" spans="1:26" ht="12" customHeight="1">
      <c r="A104" s="40"/>
      <c r="B104" s="48"/>
      <c r="C104" s="1"/>
      <c r="D104" s="47"/>
      <c r="E104" s="1"/>
      <c r="F104" s="1"/>
      <c r="G104" s="1"/>
      <c r="H104" s="1"/>
      <c r="I104" s="1"/>
      <c r="J104" s="1"/>
      <c r="K104" s="44"/>
      <c r="L104" s="45"/>
      <c r="M104" s="46"/>
      <c r="N104" s="46"/>
      <c r="O104" s="46"/>
    </row>
    <row r="105" spans="1:26" ht="39.75" customHeight="1">
      <c r="A105" s="40">
        <f>A103+1</f>
        <v>41</v>
      </c>
      <c r="B105" s="41" t="s">
        <v>172</v>
      </c>
      <c r="C105" s="1"/>
      <c r="D105" s="42" t="s">
        <v>34</v>
      </c>
      <c r="E105" s="1"/>
      <c r="F105" s="1" t="e">
        <f>#REF!*#REF!</f>
        <v>#REF!</v>
      </c>
      <c r="G105" s="1" t="e">
        <f>IF(#REF!&gt;=0,10*#REF!,0)</f>
        <v>#REF!</v>
      </c>
      <c r="H105" s="1"/>
      <c r="I105" s="43"/>
      <c r="J105" s="1"/>
      <c r="K105" s="44">
        <v>3</v>
      </c>
      <c r="L105" s="45">
        <f>K105/K117</f>
        <v>0.6</v>
      </c>
      <c r="M105" s="46">
        <f>VLOOKUP(D105,Q1:R9,2,FALSE)</f>
        <v>0</v>
      </c>
      <c r="N105" s="46">
        <f>M105*L105</f>
        <v>0</v>
      </c>
      <c r="O105" s="46">
        <f>IF(M105=0,0,L105*MAX(R2:R8))</f>
        <v>0</v>
      </c>
    </row>
    <row r="106" spans="1:26" ht="12" customHeight="1">
      <c r="A106" s="40"/>
      <c r="B106" s="48"/>
      <c r="C106" s="1"/>
      <c r="D106" s="47"/>
      <c r="E106" s="1"/>
      <c r="F106" s="1"/>
      <c r="G106" s="1"/>
      <c r="H106" s="1"/>
      <c r="I106" s="1"/>
      <c r="J106" s="1"/>
      <c r="K106" s="44"/>
      <c r="L106" s="45"/>
      <c r="M106" s="46"/>
      <c r="N106" s="46"/>
      <c r="O106" s="46"/>
    </row>
    <row r="107" spans="1:26" ht="39.75" customHeight="1">
      <c r="A107" s="40">
        <f>A105+1</f>
        <v>42</v>
      </c>
      <c r="B107" s="41" t="s">
        <v>174</v>
      </c>
      <c r="C107" s="1"/>
      <c r="D107" s="42" t="s">
        <v>25</v>
      </c>
      <c r="E107" s="1"/>
      <c r="F107" s="1" t="e">
        <f>#REF!*#REF!</f>
        <v>#REF!</v>
      </c>
      <c r="G107" s="1" t="e">
        <f>IF(#REF!&gt;=0,10*#REF!,0)</f>
        <v>#REF!</v>
      </c>
      <c r="H107" s="1"/>
      <c r="I107" s="43" t="s">
        <v>221</v>
      </c>
      <c r="J107" s="1"/>
      <c r="K107" s="44">
        <v>2</v>
      </c>
      <c r="L107" s="45">
        <f>K107/K117</f>
        <v>0.4</v>
      </c>
      <c r="M107" s="46">
        <f>VLOOKUP(D107,Q1:R9,2,FALSE)</f>
        <v>5</v>
      </c>
      <c r="N107" s="46">
        <f>M107*L107</f>
        <v>2</v>
      </c>
      <c r="O107" s="46">
        <f>IF(M107=0,0,L107*MAX(R2:R8))</f>
        <v>2</v>
      </c>
    </row>
    <row r="108" spans="1:26" ht="12" customHeight="1">
      <c r="B108" s="32"/>
      <c r="C108" s="1"/>
      <c r="D108" s="47"/>
      <c r="E108" s="1"/>
      <c r="F108" s="1"/>
      <c r="G108" s="1"/>
      <c r="H108" s="1"/>
      <c r="I108" s="1"/>
      <c r="J108" s="1"/>
      <c r="K108" s="44"/>
      <c r="L108" s="45"/>
      <c r="M108" s="46"/>
      <c r="N108" s="46"/>
      <c r="O108" s="46"/>
    </row>
    <row r="109" spans="1:26" ht="15.75" customHeight="1">
      <c r="A109" s="9" t="s">
        <v>83</v>
      </c>
      <c r="C109" s="38"/>
      <c r="D109" s="57"/>
      <c r="E109" s="38"/>
      <c r="F109" s="1"/>
      <c r="G109" s="1"/>
      <c r="H109" s="1"/>
      <c r="I109" s="1"/>
      <c r="J109" s="1"/>
      <c r="K109" s="44"/>
      <c r="L109" s="45"/>
      <c r="M109" s="46"/>
      <c r="N109" s="46"/>
      <c r="O109" s="46"/>
    </row>
    <row r="110" spans="1:26" ht="14.25" customHeight="1">
      <c r="B110" s="55"/>
      <c r="C110" s="38"/>
      <c r="D110" s="57"/>
      <c r="E110" s="38"/>
      <c r="F110" s="1"/>
      <c r="G110" s="1"/>
      <c r="H110" s="1"/>
      <c r="I110" s="1"/>
      <c r="J110" s="1"/>
      <c r="K110" s="44"/>
      <c r="L110" s="45"/>
      <c r="M110" s="46"/>
      <c r="N110" s="46"/>
      <c r="O110" s="46"/>
    </row>
    <row r="111" spans="1:26" ht="39.75" customHeight="1">
      <c r="A111" s="40">
        <f>A107+1</f>
        <v>43</v>
      </c>
      <c r="B111" s="41" t="s">
        <v>175</v>
      </c>
      <c r="C111" s="13"/>
      <c r="D111" s="42" t="s">
        <v>24</v>
      </c>
      <c r="E111" s="13"/>
      <c r="F111" s="13" t="e">
        <f>#REF!*#REF!</f>
        <v>#REF!</v>
      </c>
      <c r="G111" s="13" t="e">
        <f>IF(#REF!&gt;=0,10*#REF!,0)</f>
        <v>#REF!</v>
      </c>
      <c r="H111" s="13"/>
      <c r="I111" s="43" t="s">
        <v>222</v>
      </c>
      <c r="J111" s="13"/>
      <c r="K111" s="34">
        <v>4</v>
      </c>
      <c r="L111" s="64">
        <f>K111/K117</f>
        <v>0.8</v>
      </c>
      <c r="M111" s="65">
        <f>VLOOKUP(D111,Q1:R9,2,FALSE)</f>
        <v>4</v>
      </c>
      <c r="N111" s="65">
        <f>M111*L111</f>
        <v>3.2</v>
      </c>
      <c r="O111" s="65">
        <f>IF(M111=0,0,L111*MAX(R2:R8))</f>
        <v>4</v>
      </c>
      <c r="P111" s="13"/>
      <c r="Q111" s="13"/>
      <c r="R111" s="13"/>
      <c r="S111" s="13"/>
      <c r="T111" s="13"/>
      <c r="U111" s="13"/>
      <c r="V111" s="13"/>
      <c r="W111" s="13"/>
      <c r="X111" s="13"/>
      <c r="Y111" s="13"/>
      <c r="Z111" s="13"/>
    </row>
    <row r="112" spans="1:26" ht="12" customHeight="1">
      <c r="A112" s="40"/>
      <c r="B112" s="48"/>
      <c r="C112" s="13"/>
      <c r="D112" s="66"/>
      <c r="E112" s="13"/>
      <c r="F112" s="13"/>
      <c r="G112" s="13"/>
      <c r="H112" s="13"/>
      <c r="I112" s="13"/>
      <c r="J112" s="13"/>
      <c r="K112" s="34"/>
      <c r="L112" s="64"/>
      <c r="M112" s="65"/>
      <c r="N112" s="65"/>
      <c r="O112" s="65"/>
      <c r="P112" s="13"/>
      <c r="Q112" s="13"/>
      <c r="R112" s="13"/>
      <c r="S112" s="13"/>
      <c r="T112" s="13"/>
      <c r="U112" s="13"/>
      <c r="V112" s="13"/>
      <c r="W112" s="13"/>
      <c r="X112" s="13"/>
      <c r="Y112" s="13"/>
      <c r="Z112" s="13"/>
    </row>
    <row r="113" spans="1:26" ht="39.75" customHeight="1">
      <c r="A113" s="40">
        <f>A111+1</f>
        <v>44</v>
      </c>
      <c r="B113" s="41" t="s">
        <v>178</v>
      </c>
      <c r="C113" s="13"/>
      <c r="D113" s="70" t="s">
        <v>34</v>
      </c>
      <c r="E113" s="13"/>
      <c r="F113" s="13" t="e">
        <f>#REF!*#REF!</f>
        <v>#REF!</v>
      </c>
      <c r="G113" s="13" t="e">
        <f>IF(#REF!&gt;=0,10*#REF!,0)</f>
        <v>#REF!</v>
      </c>
      <c r="H113" s="13"/>
      <c r="I113" s="43"/>
      <c r="J113" s="13"/>
      <c r="K113" s="34">
        <v>4</v>
      </c>
      <c r="L113" s="64">
        <f>K113/K117</f>
        <v>0.8</v>
      </c>
      <c r="M113" s="65">
        <f>VLOOKUP(D113,Q1:R9,2,FALSE)</f>
        <v>0</v>
      </c>
      <c r="N113" s="65">
        <f>M113*L113</f>
        <v>0</v>
      </c>
      <c r="O113" s="65">
        <f>IF(M113=0,0,L113*MAX(R2:R8))</f>
        <v>0</v>
      </c>
      <c r="P113" s="13"/>
      <c r="Q113" s="13"/>
      <c r="R113" s="13"/>
      <c r="S113" s="13"/>
      <c r="T113" s="13"/>
      <c r="U113" s="13"/>
      <c r="V113" s="13"/>
      <c r="W113" s="13"/>
      <c r="X113" s="13"/>
      <c r="Y113" s="13"/>
      <c r="Z113" s="13"/>
    </row>
    <row r="114" spans="1:26" ht="12" customHeight="1">
      <c r="A114" s="40"/>
      <c r="B114" s="48"/>
      <c r="C114" s="13"/>
      <c r="D114" s="66"/>
      <c r="E114" s="13"/>
      <c r="F114" s="13"/>
      <c r="G114" s="13"/>
      <c r="H114" s="13"/>
      <c r="I114" s="13"/>
      <c r="J114" s="13"/>
      <c r="K114" s="34"/>
      <c r="L114" s="64"/>
      <c r="M114" s="65"/>
      <c r="N114" s="65"/>
      <c r="O114" s="65"/>
      <c r="P114" s="13"/>
      <c r="Q114" s="13"/>
      <c r="R114" s="13"/>
      <c r="S114" s="13"/>
      <c r="T114" s="13"/>
      <c r="U114" s="13"/>
      <c r="V114" s="13"/>
      <c r="W114" s="13"/>
      <c r="X114" s="13"/>
      <c r="Y114" s="13"/>
      <c r="Z114" s="13"/>
    </row>
    <row r="115" spans="1:26" ht="39.75" customHeight="1">
      <c r="A115" s="40">
        <f>A113+1</f>
        <v>45</v>
      </c>
      <c r="B115" s="41" t="s">
        <v>179</v>
      </c>
      <c r="C115" s="13"/>
      <c r="D115" s="42" t="s">
        <v>25</v>
      </c>
      <c r="E115" s="13"/>
      <c r="F115" s="13" t="e">
        <f>#REF!*#REF!</f>
        <v>#REF!</v>
      </c>
      <c r="G115" s="13" t="e">
        <f>IF(#REF!&gt;=0,10*#REF!,0)</f>
        <v>#REF!</v>
      </c>
      <c r="H115" s="13"/>
      <c r="I115" s="85" t="s">
        <v>223</v>
      </c>
      <c r="J115" s="13"/>
      <c r="K115" s="34">
        <v>3</v>
      </c>
      <c r="L115" s="64">
        <f>K115/K117</f>
        <v>0.6</v>
      </c>
      <c r="M115" s="65">
        <f>VLOOKUP(D115,Q1:R9,2,FALSE)</f>
        <v>5</v>
      </c>
      <c r="N115" s="65">
        <f>M115*L115</f>
        <v>3</v>
      </c>
      <c r="O115" s="65">
        <f>IF(M115=0,0,L115*MAX(R2:R8))</f>
        <v>3</v>
      </c>
      <c r="P115" s="13"/>
      <c r="Q115" s="13"/>
      <c r="R115" s="13"/>
      <c r="S115" s="13"/>
      <c r="T115" s="13"/>
      <c r="U115" s="13"/>
      <c r="V115" s="13"/>
      <c r="W115" s="13"/>
      <c r="X115" s="13"/>
      <c r="Y115" s="13"/>
      <c r="Z115" s="13"/>
    </row>
    <row r="116" spans="1:26" ht="12" customHeight="1">
      <c r="B116" s="2"/>
      <c r="C116" s="1"/>
      <c r="D116" s="47"/>
      <c r="E116" s="1"/>
      <c r="F116" s="1"/>
      <c r="G116" s="1"/>
      <c r="H116" s="1"/>
      <c r="I116" s="1"/>
      <c r="J116" s="1"/>
      <c r="K116" s="67"/>
      <c r="L116" s="67"/>
      <c r="M116" s="67"/>
      <c r="N116" s="68"/>
      <c r="O116" s="68"/>
    </row>
    <row r="117" spans="1:26" ht="24" customHeight="1">
      <c r="A117" s="69" t="s">
        <v>177</v>
      </c>
      <c r="B117" s="71"/>
      <c r="C117" s="72"/>
      <c r="D117" s="73">
        <f>IF(ISERR((N117/O117)*100),"",(N117/O117)*100)</f>
        <v>58.92307692307692</v>
      </c>
      <c r="E117" s="74"/>
      <c r="F117" s="74"/>
      <c r="G117" s="74"/>
      <c r="H117" s="75" t="str">
        <f>IF(D117="","","-")</f>
        <v>-</v>
      </c>
      <c r="I117" s="76" t="str">
        <f>VLOOKUP(J117,'Rating ranges'!A2:B7,2,TRUE)</f>
        <v>Moderate</v>
      </c>
      <c r="J117" s="7">
        <f>IF(D117="",0,D117)</f>
        <v>58.92307692307692</v>
      </c>
      <c r="K117" s="67">
        <f>MAX(K9:K115)</f>
        <v>5</v>
      </c>
      <c r="L117" s="67"/>
      <c r="M117" s="67"/>
      <c r="N117" s="68">
        <f>SUM(N9:N115)</f>
        <v>76.599999999999994</v>
      </c>
      <c r="O117" s="68">
        <f>SUM(O9:O115)</f>
        <v>130</v>
      </c>
    </row>
    <row r="118" spans="1:26" ht="13.5" customHeight="1">
      <c r="D118" s="37"/>
      <c r="E118" s="1"/>
      <c r="F118" s="1"/>
      <c r="G118" s="1"/>
      <c r="H118" s="1"/>
      <c r="I118" s="1"/>
      <c r="J118" s="1"/>
      <c r="K118" s="16"/>
      <c r="L118" s="16"/>
      <c r="M118" s="1"/>
    </row>
    <row r="119" spans="1:26" ht="12.75" customHeight="1">
      <c r="A119" s="91"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2"/>
      <c r="C119" s="92"/>
      <c r="D119" s="92"/>
      <c r="E119" s="92"/>
      <c r="F119" s="92"/>
      <c r="G119" s="92"/>
      <c r="H119" s="92"/>
      <c r="I119" s="93"/>
      <c r="J119" s="1"/>
      <c r="K119" s="16"/>
      <c r="L119" s="16"/>
      <c r="M119" s="1"/>
    </row>
    <row r="120" spans="1:26" ht="15" customHeight="1">
      <c r="A120" s="94"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90"/>
      <c r="C120" s="90"/>
      <c r="D120" s="90"/>
      <c r="E120" s="90"/>
      <c r="F120" s="90"/>
      <c r="G120" s="90"/>
      <c r="H120" s="90"/>
      <c r="I120" s="95"/>
      <c r="J120" s="1"/>
      <c r="K120" s="16"/>
      <c r="L120" s="16"/>
      <c r="M120" s="1"/>
    </row>
    <row r="121" spans="1:26" ht="12.75" customHeight="1">
      <c r="A121" s="96"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90"/>
      <c r="C121" s="90"/>
      <c r="D121" s="90"/>
      <c r="E121" s="90"/>
      <c r="F121" s="90"/>
      <c r="G121" s="90"/>
      <c r="H121" s="90"/>
      <c r="I121" s="95"/>
      <c r="J121" s="1"/>
      <c r="K121" s="16"/>
      <c r="L121" s="16"/>
      <c r="M121" s="1"/>
    </row>
    <row r="122" spans="1:26" ht="12.75" customHeight="1">
      <c r="A122" s="94"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90"/>
      <c r="C122" s="90"/>
      <c r="D122" s="90"/>
      <c r="E122" s="90"/>
      <c r="F122" s="90"/>
      <c r="G122" s="90"/>
      <c r="H122" s="90"/>
      <c r="I122" s="95"/>
      <c r="J122" s="1"/>
      <c r="K122" s="16"/>
      <c r="L122" s="16"/>
      <c r="M122" s="1"/>
    </row>
    <row r="123" spans="1:26" ht="12.75" customHeight="1">
      <c r="A123" s="98"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9"/>
      <c r="C123" s="99"/>
      <c r="D123" s="99"/>
      <c r="E123" s="99"/>
      <c r="F123" s="99"/>
      <c r="G123" s="99"/>
      <c r="H123" s="99"/>
      <c r="I123" s="100"/>
      <c r="J123" s="1"/>
      <c r="K123" s="16"/>
      <c r="L123" s="16"/>
      <c r="M123" s="1"/>
    </row>
    <row r="124" spans="1:26" ht="13.5" customHeight="1">
      <c r="D124" s="37"/>
      <c r="E124" s="1"/>
      <c r="F124" s="1"/>
      <c r="G124" s="1"/>
      <c r="H124" s="1"/>
      <c r="I124" s="1"/>
      <c r="J124" s="1"/>
      <c r="K124" s="16"/>
      <c r="L124" s="16"/>
      <c r="M124" s="1"/>
    </row>
    <row r="125" spans="1:26" ht="13.5" customHeight="1">
      <c r="B125" s="77" t="s">
        <v>180</v>
      </c>
      <c r="C125" s="81" t="s">
        <v>181</v>
      </c>
      <c r="D125" s="78"/>
      <c r="E125" s="1"/>
      <c r="F125" s="1"/>
      <c r="G125" s="1"/>
      <c r="H125" s="1"/>
      <c r="I125" s="1"/>
      <c r="J125" s="1"/>
      <c r="K125" s="16"/>
      <c r="L125" s="16"/>
      <c r="M125" s="1"/>
    </row>
    <row r="126" spans="1:26" ht="12.75" customHeight="1">
      <c r="A126" s="1"/>
      <c r="B126" s="79"/>
      <c r="C126" s="83" t="s">
        <v>182</v>
      </c>
      <c r="D126" s="80"/>
      <c r="E126" s="80"/>
      <c r="F126" s="80"/>
      <c r="G126" s="80"/>
      <c r="H126" s="80"/>
      <c r="I126" s="80"/>
      <c r="J126" s="82"/>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N7:N8"/>
    <mergeCell ref="O7:O8"/>
    <mergeCell ref="A122:I122"/>
    <mergeCell ref="A123:I123"/>
    <mergeCell ref="K7:K8"/>
    <mergeCell ref="L7:L8"/>
    <mergeCell ref="M7:M8"/>
    <mergeCell ref="A1:I1"/>
    <mergeCell ref="A3:B3"/>
    <mergeCell ref="A119:I119"/>
    <mergeCell ref="A120:I120"/>
    <mergeCell ref="A121:I121"/>
  </mergeCells>
  <conditionalFormatting sqref="D9 D11 D13 D15 D17 D21 D23:D25 D29 D31:D33 D35 D37 D39 D41 D43 D45 D49 D51 D53 D55 D59 D61 D63 D67 D69 D71 D73 D75 D79 D81 D83 D85 D89 D91 D93 D95 D101 D103 D105 D107 D111 D113 D115 D97:G97">
    <cfRule type="cellIs" dxfId="2" priority="1" operator="equal">
      <formula>"Enter score"</formula>
    </cfRule>
  </conditionalFormatting>
  <dataValidations xWindow="782" yWindow="799" count="3">
    <dataValidation type="list" allowBlank="1" showInputMessage="1" showErrorMessage="1" prompt=" - " sqref="D18 D54 D74 D96" xr:uid="{00000000-0002-0000-00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0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G97 D101 D103 D105 D107 D111 D113 D115" xr:uid="{00000000-0002-0000-0000-000002000000}">
      <formula1>$Q$1:$Q$7</formula1>
    </dataValidation>
  </dataValidations>
  <hyperlinks>
    <hyperlink ref="C125" r:id="rId1" xr:uid="{00000000-0004-0000-0000-000000000000}"/>
    <hyperlink ref="C126" r:id="rId2" xr:uid="{00000000-0004-0000-0000-000001000000}"/>
  </hyperlinks>
  <pageMargins left="0.7" right="0.7" top="0.75" bottom="0.75" header="0" footer="0"/>
  <pageSetup orientation="landscape"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I1"/>
    </sheetView>
  </sheetViews>
  <sheetFormatPr baseColWidth="10" defaultColWidth="14.44140625" defaultRowHeight="15" customHeight="1"/>
  <cols>
    <col min="1" max="1" width="4.5546875" customWidth="1"/>
    <col min="2" max="2" width="60.33203125" customWidth="1"/>
    <col min="3" max="3" width="4.5546875" customWidth="1"/>
    <col min="4" max="4" width="13.88671875" customWidth="1"/>
    <col min="5" max="5" width="11.5546875" hidden="1" customWidth="1"/>
    <col min="6" max="6" width="6.6640625" hidden="1" customWidth="1"/>
    <col min="7" max="7" width="4.44140625" hidden="1" customWidth="1"/>
    <col min="8" max="8" width="4.109375" customWidth="1"/>
    <col min="9" max="9" width="51.33203125" customWidth="1"/>
    <col min="10" max="10" width="2.109375" customWidth="1"/>
    <col min="11" max="12" width="12.109375" customWidth="1"/>
    <col min="13" max="13" width="9.109375" customWidth="1"/>
    <col min="14" max="26" width="8" customWidth="1"/>
  </cols>
  <sheetData>
    <row r="1" spans="1:22" ht="23.25" customHeight="1">
      <c r="A1" s="86" t="s">
        <v>1</v>
      </c>
      <c r="B1" s="87"/>
      <c r="C1" s="87"/>
      <c r="D1" s="87"/>
      <c r="E1" s="87"/>
      <c r="F1" s="87"/>
      <c r="G1" s="87"/>
      <c r="H1" s="87"/>
      <c r="I1" s="88"/>
      <c r="J1" s="1"/>
      <c r="K1" s="3"/>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89" t="s">
        <v>9</v>
      </c>
      <c r="B3" s="90"/>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101" t="s">
        <v>30</v>
      </c>
      <c r="L7" s="101" t="s">
        <v>31</v>
      </c>
      <c r="M7" s="101" t="s">
        <v>32</v>
      </c>
      <c r="N7" s="97" t="s">
        <v>10</v>
      </c>
      <c r="O7" s="97" t="s">
        <v>33</v>
      </c>
      <c r="P7" s="18"/>
      <c r="Q7" s="19" t="s">
        <v>34</v>
      </c>
      <c r="R7" s="21">
        <v>0</v>
      </c>
      <c r="S7" s="1"/>
      <c r="T7" s="1"/>
      <c r="U7" s="1"/>
      <c r="V7" s="10"/>
    </row>
    <row r="8" spans="1:22" ht="14.25" customHeight="1">
      <c r="B8" s="38"/>
      <c r="C8" s="1"/>
      <c r="D8" s="37"/>
      <c r="E8" s="1"/>
      <c r="F8" s="1"/>
      <c r="G8" s="1"/>
      <c r="H8" s="1"/>
      <c r="I8" s="1"/>
      <c r="J8" s="1"/>
      <c r="K8" s="90"/>
      <c r="L8" s="90"/>
      <c r="M8" s="90"/>
      <c r="N8" s="90"/>
      <c r="O8" s="90"/>
      <c r="P8" s="18"/>
      <c r="Q8" s="1"/>
      <c r="R8" s="39"/>
      <c r="S8" s="1"/>
      <c r="T8" s="1"/>
      <c r="U8" s="1"/>
      <c r="V8" s="10"/>
    </row>
    <row r="9" spans="1:22" ht="39.75" customHeight="1">
      <c r="A9" s="40">
        <v>1</v>
      </c>
      <c r="B9" s="41" t="s">
        <v>40</v>
      </c>
      <c r="C9" s="1"/>
      <c r="D9" s="42" t="s">
        <v>4</v>
      </c>
      <c r="E9" s="1"/>
      <c r="F9" s="1" t="e">
        <f>#REF!*#REF!</f>
        <v>#REF!</v>
      </c>
      <c r="G9" s="1" t="e">
        <f>IF(#REF!&gt;=0,10*#REF!,0)</f>
        <v>#REF!</v>
      </c>
      <c r="H9" s="1"/>
      <c r="I9" s="43"/>
      <c r="J9" s="1"/>
      <c r="K9" s="44">
        <v>5</v>
      </c>
      <c r="L9" s="45">
        <f>K9/K117</f>
        <v>1</v>
      </c>
      <c r="M9" s="46">
        <f>VLOOKUP(D9,Q1:R9,2,FALSE)</f>
        <v>0</v>
      </c>
      <c r="N9" s="46">
        <f>M9*L9</f>
        <v>0</v>
      </c>
      <c r="O9" s="46">
        <f>IF(M9=0,0,L9*MAX(R2:R8))</f>
        <v>0</v>
      </c>
      <c r="P9" s="18"/>
      <c r="Q9" s="1"/>
      <c r="R9" s="39"/>
      <c r="S9" s="1"/>
      <c r="T9" s="1"/>
      <c r="U9" s="1"/>
      <c r="V9" s="10"/>
    </row>
    <row r="10" spans="1:22" ht="12" customHeight="1">
      <c r="A10" s="40"/>
      <c r="B10" s="41"/>
      <c r="C10" s="1"/>
      <c r="D10" s="47"/>
      <c r="E10" s="1"/>
      <c r="F10" s="1"/>
      <c r="G10" s="1"/>
      <c r="H10" s="1"/>
      <c r="I10" s="1"/>
      <c r="J10" s="1"/>
      <c r="K10" s="44"/>
      <c r="L10" s="45"/>
      <c r="M10" s="46"/>
      <c r="N10" s="46"/>
      <c r="O10" s="46"/>
      <c r="P10" s="49"/>
      <c r="Q10" s="1"/>
      <c r="R10" s="1"/>
      <c r="S10" s="1"/>
      <c r="T10" s="1"/>
      <c r="U10" s="1"/>
      <c r="V10" s="10"/>
    </row>
    <row r="11" spans="1:22" ht="39.75" customHeight="1">
      <c r="A11" s="40">
        <f>A9+1</f>
        <v>2</v>
      </c>
      <c r="B11" s="41" t="s">
        <v>65</v>
      </c>
      <c r="C11" s="1"/>
      <c r="D11" s="42" t="s">
        <v>4</v>
      </c>
      <c r="E11" s="1"/>
      <c r="F11" s="1" t="e">
        <f>#REF!*#REF!</f>
        <v>#REF!</v>
      </c>
      <c r="G11" s="1" t="e">
        <f>IF(#REF!&gt;=0,10*#REF!,0)</f>
        <v>#REF!</v>
      </c>
      <c r="H11" s="1"/>
      <c r="I11" s="43"/>
      <c r="J11" s="1"/>
      <c r="K11" s="44">
        <v>5</v>
      </c>
      <c r="L11" s="45">
        <f>K11/K117</f>
        <v>1</v>
      </c>
      <c r="M11" s="46">
        <f>VLOOKUP(D11,Q1:R9,2,FALSE)</f>
        <v>0</v>
      </c>
      <c r="N11" s="46">
        <f>M11*L11</f>
        <v>0</v>
      </c>
      <c r="O11" s="46">
        <f>IF(M11=0,0,L11*MAX(R2:R8))</f>
        <v>0</v>
      </c>
      <c r="P11" s="49"/>
      <c r="S11" s="10"/>
      <c r="T11" s="10"/>
      <c r="U11" s="10"/>
      <c r="V11" s="10"/>
    </row>
    <row r="12" spans="1:22" ht="12" customHeight="1">
      <c r="A12" s="40"/>
      <c r="B12" s="41"/>
      <c r="C12" s="1"/>
      <c r="D12" s="47"/>
      <c r="E12" s="1"/>
      <c r="F12" s="1"/>
      <c r="G12" s="1"/>
      <c r="H12" s="1"/>
      <c r="I12" s="1"/>
      <c r="J12" s="1"/>
      <c r="K12" s="44"/>
      <c r="L12" s="45"/>
      <c r="M12" s="46"/>
      <c r="N12" s="46"/>
      <c r="O12" s="46"/>
      <c r="P12" s="10"/>
      <c r="Q12" s="10"/>
      <c r="R12" s="10"/>
      <c r="S12" s="50"/>
      <c r="T12" s="10"/>
      <c r="U12" s="10"/>
      <c r="V12" s="10"/>
    </row>
    <row r="13" spans="1:22" ht="39.75" customHeight="1">
      <c r="A13" s="40">
        <f>A11+1</f>
        <v>3</v>
      </c>
      <c r="B13" s="41" t="s">
        <v>77</v>
      </c>
      <c r="C13" s="1"/>
      <c r="D13" s="42" t="s">
        <v>4</v>
      </c>
      <c r="E13" s="1"/>
      <c r="F13" s="1" t="e">
        <f>#REF!*#REF!</f>
        <v>#REF!</v>
      </c>
      <c r="G13" s="1" t="e">
        <f>IF(#REF!&gt;=0,10*#REF!,0)</f>
        <v>#REF!</v>
      </c>
      <c r="H13" s="1"/>
      <c r="I13" s="43"/>
      <c r="J13" s="1"/>
      <c r="K13" s="44">
        <v>4</v>
      </c>
      <c r="L13" s="45">
        <f>K13/K117</f>
        <v>0.8</v>
      </c>
      <c r="M13" s="46">
        <f>VLOOKUP(D13,Q1:R9,2,FALSE)</f>
        <v>0</v>
      </c>
      <c r="N13" s="46">
        <f>M13*L13</f>
        <v>0</v>
      </c>
      <c r="O13" s="46">
        <f>IF(M13=0,0,L13*MAX(R2:R8))</f>
        <v>0</v>
      </c>
      <c r="P13" s="10"/>
      <c r="Q13" s="10"/>
      <c r="R13" s="10"/>
      <c r="S13" s="50"/>
      <c r="T13" s="10"/>
      <c r="U13" s="10"/>
      <c r="V13" s="10"/>
    </row>
    <row r="14" spans="1:22" ht="12" customHeight="1">
      <c r="A14" s="40"/>
      <c r="B14" s="41"/>
      <c r="C14" s="1"/>
      <c r="D14" s="47"/>
      <c r="E14" s="1"/>
      <c r="F14" s="1"/>
      <c r="G14" s="1"/>
      <c r="H14" s="1"/>
      <c r="I14" s="1"/>
      <c r="J14" s="1"/>
      <c r="K14" s="44"/>
      <c r="L14" s="45"/>
      <c r="M14" s="46"/>
      <c r="N14" s="46"/>
      <c r="O14" s="46"/>
      <c r="S14" s="48"/>
    </row>
    <row r="15" spans="1:22" ht="39.75" customHeight="1">
      <c r="A15" s="40">
        <f>A13+1</f>
        <v>4</v>
      </c>
      <c r="B15" s="41" t="s">
        <v>84</v>
      </c>
      <c r="C15" s="1"/>
      <c r="D15" s="42" t="s">
        <v>4</v>
      </c>
      <c r="E15" s="1"/>
      <c r="F15" s="1" t="e">
        <f>#REF!*#REF!</f>
        <v>#REF!</v>
      </c>
      <c r="G15" s="1" t="e">
        <f>IF(#REF!&gt;=0,10*#REF!,0)</f>
        <v>#REF!</v>
      </c>
      <c r="H15" s="1"/>
      <c r="I15" s="43"/>
      <c r="J15" s="1"/>
      <c r="K15" s="51">
        <v>3</v>
      </c>
      <c r="L15" s="52">
        <f>K15/K117</f>
        <v>0.6</v>
      </c>
      <c r="M15" s="46">
        <f>VLOOKUP(D15,Q1:R9,2,FALSE)</f>
        <v>0</v>
      </c>
      <c r="N15" s="46">
        <f>M15*L15</f>
        <v>0</v>
      </c>
      <c r="O15" s="53">
        <f>IF(M15=0,0,L15*MAX(R2:R8))</f>
        <v>0</v>
      </c>
      <c r="P15" s="18"/>
      <c r="S15" s="18"/>
      <c r="T15" s="1"/>
    </row>
    <row r="16" spans="1:22" ht="12" customHeight="1">
      <c r="A16" s="40"/>
      <c r="B16" s="41"/>
      <c r="C16" s="1"/>
      <c r="D16" s="47"/>
      <c r="E16" s="1"/>
      <c r="F16" s="1"/>
      <c r="G16" s="1"/>
      <c r="H16" s="1"/>
      <c r="I16" s="1"/>
      <c r="J16" s="1"/>
      <c r="K16" s="44"/>
      <c r="L16" s="45"/>
      <c r="M16" s="46"/>
      <c r="N16" s="46"/>
      <c r="O16" s="46"/>
      <c r="S16" s="48"/>
      <c r="T16" s="1"/>
    </row>
    <row r="17" spans="1:20" ht="39.75" customHeight="1">
      <c r="A17" s="40">
        <f>A15+1</f>
        <v>5</v>
      </c>
      <c r="B17" s="41" t="s">
        <v>90</v>
      </c>
      <c r="C17" s="1"/>
      <c r="D17" s="42" t="s">
        <v>4</v>
      </c>
      <c r="E17" s="1"/>
      <c r="F17" s="1" t="e">
        <f>#REF!*#REF!</f>
        <v>#REF!</v>
      </c>
      <c r="G17" s="1" t="e">
        <f>IF(#REF!&gt;=0,10*#REF!,0)</f>
        <v>#REF!</v>
      </c>
      <c r="H17" s="1"/>
      <c r="I17" s="43"/>
      <c r="J17" s="1"/>
      <c r="K17" s="44">
        <v>3</v>
      </c>
      <c r="L17" s="45">
        <f>K17/K117</f>
        <v>0.6</v>
      </c>
      <c r="M17" s="46">
        <f>VLOOKUP(D17,Q1:R9,2,FALSE)</f>
        <v>0</v>
      </c>
      <c r="N17" s="46">
        <f>M17*L17</f>
        <v>0</v>
      </c>
      <c r="O17" s="46">
        <f>IF(M17=0,0,L17*MAX(R2:R8))</f>
        <v>0</v>
      </c>
      <c r="S17" s="48"/>
      <c r="T17" s="1"/>
    </row>
    <row r="18" spans="1:20" ht="12" customHeight="1">
      <c r="B18" s="54"/>
      <c r="C18" s="1"/>
      <c r="D18" s="47"/>
      <c r="E18" s="1"/>
      <c r="F18" s="1"/>
      <c r="G18" s="1"/>
      <c r="H18" s="1"/>
      <c r="I18" s="1"/>
      <c r="J18" s="1"/>
      <c r="K18" s="44"/>
      <c r="L18" s="45"/>
      <c r="M18" s="46"/>
      <c r="N18" s="46"/>
      <c r="O18" s="46"/>
      <c r="S18" s="48"/>
      <c r="T18" s="1"/>
    </row>
    <row r="19" spans="1:20" ht="15.75" customHeight="1">
      <c r="A19" s="9" t="s">
        <v>22</v>
      </c>
      <c r="C19" s="38"/>
      <c r="D19" s="47"/>
      <c r="E19" s="1"/>
      <c r="F19" s="1"/>
      <c r="G19" s="1"/>
      <c r="H19" s="1"/>
      <c r="I19" s="1"/>
      <c r="J19" s="1"/>
      <c r="K19" s="44"/>
      <c r="L19" s="45"/>
      <c r="M19" s="46"/>
      <c r="N19" s="46"/>
      <c r="O19" s="46"/>
    </row>
    <row r="20" spans="1:20" ht="14.25" customHeight="1">
      <c r="B20" s="55"/>
      <c r="C20" s="38"/>
      <c r="D20" s="47"/>
      <c r="E20" s="1"/>
      <c r="F20" s="1"/>
      <c r="G20" s="1"/>
      <c r="H20" s="1"/>
      <c r="I20" s="1"/>
      <c r="J20" s="1"/>
      <c r="K20" s="44"/>
      <c r="L20" s="45"/>
      <c r="M20" s="46"/>
      <c r="N20" s="46"/>
      <c r="O20" s="46"/>
    </row>
    <row r="21" spans="1:20" ht="39.75" customHeight="1">
      <c r="A21" s="40">
        <f>A17+1</f>
        <v>6</v>
      </c>
      <c r="B21" s="41" t="s">
        <v>92</v>
      </c>
      <c r="C21" s="1"/>
      <c r="D21" s="42" t="s">
        <v>4</v>
      </c>
      <c r="E21" s="1"/>
      <c r="F21" s="1" t="e">
        <f>#REF!*#REF!</f>
        <v>#REF!</v>
      </c>
      <c r="G21" s="1" t="e">
        <f>IF(#REF!&gt;=0,10*#REF!,0)</f>
        <v>#REF!</v>
      </c>
      <c r="H21" s="1"/>
      <c r="I21" s="43"/>
      <c r="J21" s="1"/>
      <c r="K21" s="44">
        <v>3</v>
      </c>
      <c r="L21" s="45">
        <f>K21/K117</f>
        <v>0.6</v>
      </c>
      <c r="M21" s="46">
        <f>VLOOKUP(D21,Q1:R9,2,FALSE)</f>
        <v>0</v>
      </c>
      <c r="N21" s="46">
        <f>M21*L21</f>
        <v>0</v>
      </c>
      <c r="O21" s="46">
        <f>IF(M21=0,0,L21*MAX(R2:R8))</f>
        <v>0</v>
      </c>
    </row>
    <row r="22" spans="1:20" ht="12" customHeight="1">
      <c r="A22" s="40"/>
      <c r="B22" s="41"/>
      <c r="C22" s="1"/>
      <c r="D22" s="47"/>
      <c r="E22" s="1"/>
      <c r="F22" s="1"/>
      <c r="G22" s="1"/>
      <c r="H22" s="1"/>
      <c r="I22" s="1"/>
      <c r="J22" s="1"/>
      <c r="K22" s="51"/>
      <c r="L22" s="52"/>
      <c r="M22" s="46"/>
      <c r="N22" s="56"/>
      <c r="O22" s="56"/>
      <c r="P22" s="48"/>
      <c r="Q22" s="48"/>
      <c r="R22" s="48"/>
    </row>
    <row r="23" spans="1:20" ht="39.75" customHeight="1">
      <c r="A23" s="40">
        <f>A21+1</f>
        <v>7</v>
      </c>
      <c r="B23" s="41" t="s">
        <v>94</v>
      </c>
      <c r="C23" s="1"/>
      <c r="D23" s="42" t="s">
        <v>4</v>
      </c>
      <c r="E23" s="1"/>
      <c r="F23" s="1" t="e">
        <f>#REF!*#REF!</f>
        <v>#REF!</v>
      </c>
      <c r="G23" s="1" t="e">
        <f>IF(#REF!&gt;=0,10*#REF!,0)</f>
        <v>#REF!</v>
      </c>
      <c r="H23" s="1"/>
      <c r="I23" s="43"/>
      <c r="J23" s="1"/>
      <c r="K23" s="44">
        <v>4</v>
      </c>
      <c r="L23" s="45">
        <f>K23/K117</f>
        <v>0.8</v>
      </c>
      <c r="M23" s="46">
        <f>VLOOKUP(D23,Q1:R9,2,FALSE)</f>
        <v>0</v>
      </c>
      <c r="N23" s="46">
        <f>M23*L23</f>
        <v>0</v>
      </c>
      <c r="O23" s="46">
        <f>IF(M23=0,0,L23*MAX(R2:R8))</f>
        <v>0</v>
      </c>
      <c r="Q23" s="48"/>
      <c r="R23" s="48"/>
    </row>
    <row r="24" spans="1:20" ht="12" customHeight="1">
      <c r="A24" s="40"/>
      <c r="B24" s="41"/>
      <c r="C24" s="1"/>
      <c r="D24" s="47"/>
      <c r="E24" s="1"/>
      <c r="F24" s="1"/>
      <c r="G24" s="1"/>
      <c r="H24" s="1"/>
      <c r="I24" s="1"/>
      <c r="J24" s="1"/>
      <c r="K24" s="44"/>
      <c r="L24" s="45"/>
      <c r="M24" s="46"/>
      <c r="N24" s="46"/>
      <c r="O24" s="46"/>
      <c r="Q24" s="48"/>
      <c r="R24" s="48"/>
    </row>
    <row r="25" spans="1:20" ht="39.75" customHeight="1">
      <c r="A25" s="40">
        <f>A23+1</f>
        <v>8</v>
      </c>
      <c r="B25" s="41" t="s">
        <v>95</v>
      </c>
      <c r="C25" s="1"/>
      <c r="D25" s="42" t="s">
        <v>4</v>
      </c>
      <c r="E25" s="1"/>
      <c r="F25" s="1"/>
      <c r="G25" s="1"/>
      <c r="H25" s="1"/>
      <c r="I25" s="43"/>
      <c r="J25" s="1"/>
      <c r="K25" s="44">
        <v>3</v>
      </c>
      <c r="L25" s="45">
        <f>K25/K117</f>
        <v>0.6</v>
      </c>
      <c r="M25" s="46">
        <f>VLOOKUP(D25,Q1:R9,2,FALSE)</f>
        <v>0</v>
      </c>
      <c r="N25" s="46">
        <f>M25*L25</f>
        <v>0</v>
      </c>
      <c r="O25" s="46">
        <f>IF(M25=0,0,L25*MAX(R2:R8))</f>
        <v>0</v>
      </c>
      <c r="Q25" s="48"/>
      <c r="R25" s="48"/>
    </row>
    <row r="26" spans="1:20" ht="12" customHeight="1">
      <c r="B26" s="32"/>
      <c r="C26" s="1"/>
      <c r="D26" s="47"/>
      <c r="E26" s="1"/>
      <c r="F26" s="1"/>
      <c r="G26" s="1"/>
      <c r="H26" s="1"/>
      <c r="I26" s="1"/>
      <c r="J26" s="1"/>
      <c r="K26" s="44"/>
      <c r="L26" s="45"/>
      <c r="M26" s="46"/>
      <c r="N26" s="46"/>
      <c r="O26" s="46"/>
      <c r="Q26" s="48"/>
      <c r="R26" s="48"/>
      <c r="S26" s="48"/>
    </row>
    <row r="27" spans="1:20" ht="15.75" customHeight="1">
      <c r="A27" s="9" t="s">
        <v>29</v>
      </c>
      <c r="C27" s="38"/>
      <c r="D27" s="57"/>
      <c r="E27" s="1"/>
      <c r="F27" s="1"/>
      <c r="G27" s="1"/>
      <c r="H27" s="1"/>
      <c r="I27" s="1"/>
      <c r="J27" s="1"/>
      <c r="K27" s="44"/>
      <c r="L27" s="45"/>
      <c r="M27" s="46"/>
      <c r="N27" s="46"/>
      <c r="O27" s="46"/>
      <c r="Q27" s="48"/>
      <c r="R27" s="48"/>
      <c r="S27" s="48"/>
    </row>
    <row r="28" spans="1:20" ht="14.25" customHeight="1">
      <c r="B28" s="55"/>
      <c r="C28" s="38"/>
      <c r="D28" s="57"/>
      <c r="E28" s="1"/>
      <c r="F28" s="1"/>
      <c r="G28" s="1"/>
      <c r="H28" s="1"/>
      <c r="I28" s="1"/>
      <c r="J28" s="1"/>
      <c r="K28" s="44"/>
      <c r="L28" s="45"/>
      <c r="M28" s="46"/>
      <c r="N28" s="46"/>
      <c r="O28" s="46"/>
      <c r="Q28" s="48"/>
      <c r="R28" s="48"/>
      <c r="S28" s="48"/>
    </row>
    <row r="29" spans="1:20" ht="39.75" customHeight="1">
      <c r="A29" s="40">
        <f>A25+1</f>
        <v>9</v>
      </c>
      <c r="B29" s="48" t="s">
        <v>98</v>
      </c>
      <c r="C29" s="1"/>
      <c r="D29" s="42" t="s">
        <v>4</v>
      </c>
      <c r="E29" s="1"/>
      <c r="F29" s="1" t="e">
        <f>#REF!*#REF!</f>
        <v>#REF!</v>
      </c>
      <c r="G29" s="1" t="e">
        <f>IF(#REF!&gt;=0,10*#REF!,0)</f>
        <v>#REF!</v>
      </c>
      <c r="H29" s="1"/>
      <c r="I29" s="43"/>
      <c r="J29" s="1"/>
      <c r="K29" s="44">
        <v>2</v>
      </c>
      <c r="L29" s="45">
        <f>K29/K117</f>
        <v>0.4</v>
      </c>
      <c r="M29" s="46">
        <f>VLOOKUP(D29,Q1:R9,2,FALSE)</f>
        <v>0</v>
      </c>
      <c r="N29" s="46">
        <f>M29*L29</f>
        <v>0</v>
      </c>
      <c r="O29" s="46">
        <f>IF(M29=0,0,L29*MAX(R2:R8))</f>
        <v>0</v>
      </c>
      <c r="Q29" s="48"/>
      <c r="R29" s="48"/>
      <c r="S29" s="48"/>
    </row>
    <row r="30" spans="1:20" ht="12" customHeight="1">
      <c r="A30" s="40"/>
      <c r="B30" s="48"/>
      <c r="C30" s="1"/>
      <c r="D30" s="47"/>
      <c r="E30" s="1"/>
      <c r="F30" s="1"/>
      <c r="G30" s="1"/>
      <c r="H30" s="1"/>
      <c r="I30" s="1"/>
      <c r="J30" s="1"/>
      <c r="K30" s="51"/>
      <c r="L30" s="52"/>
      <c r="M30" s="46"/>
      <c r="N30" s="58"/>
      <c r="O30" s="56"/>
      <c r="P30" s="18"/>
      <c r="Q30" s="18"/>
      <c r="R30" s="18"/>
      <c r="S30" s="18"/>
    </row>
    <row r="31" spans="1:20" ht="39.75" customHeight="1">
      <c r="A31" s="40">
        <f>A29+1</f>
        <v>10</v>
      </c>
      <c r="B31" s="48" t="s">
        <v>100</v>
      </c>
      <c r="C31" s="1"/>
      <c r="D31" s="42" t="s">
        <v>4</v>
      </c>
      <c r="E31" s="1"/>
      <c r="F31" s="1" t="e">
        <f>#REF!*#REF!</f>
        <v>#REF!</v>
      </c>
      <c r="G31" s="1" t="e">
        <f>IF(#REF!&gt;=0,10*#REF!,0)</f>
        <v>#REF!</v>
      </c>
      <c r="H31" s="1"/>
      <c r="I31" s="43"/>
      <c r="J31" s="1"/>
      <c r="K31" s="44">
        <v>4</v>
      </c>
      <c r="L31" s="45">
        <f>K31/K117</f>
        <v>0.8</v>
      </c>
      <c r="M31" s="46">
        <f>VLOOKUP(D31,Q1:R9,2,FALSE)</f>
        <v>0</v>
      </c>
      <c r="N31" s="46">
        <f>M31*L31</f>
        <v>0</v>
      </c>
      <c r="O31" s="46">
        <f>IF(M31=0,0,L31*MAX(R2:R8))</f>
        <v>0</v>
      </c>
    </row>
    <row r="32" spans="1:20" ht="12" customHeight="1">
      <c r="A32" s="40"/>
      <c r="B32" s="48"/>
      <c r="C32" s="1"/>
      <c r="D32" s="47"/>
      <c r="E32" s="1"/>
      <c r="F32" s="1"/>
      <c r="G32" s="1"/>
      <c r="H32" s="1"/>
      <c r="I32" s="1"/>
      <c r="J32" s="1"/>
      <c r="K32" s="44"/>
      <c r="L32" s="45"/>
      <c r="M32" s="46"/>
      <c r="N32" s="46"/>
      <c r="O32" s="46"/>
    </row>
    <row r="33" spans="1:19" ht="39.75" customHeight="1">
      <c r="A33" s="40">
        <f>A31+1</f>
        <v>11</v>
      </c>
      <c r="B33" s="48" t="s">
        <v>102</v>
      </c>
      <c r="C33" s="1"/>
      <c r="D33" s="42" t="s">
        <v>4</v>
      </c>
      <c r="E33" s="1"/>
      <c r="F33" s="1"/>
      <c r="G33" s="1"/>
      <c r="H33" s="1"/>
      <c r="I33" s="43"/>
      <c r="J33" s="1"/>
      <c r="K33" s="44">
        <v>3</v>
      </c>
      <c r="L33" s="45">
        <f>K33/K117</f>
        <v>0.6</v>
      </c>
      <c r="M33" s="46">
        <f>VLOOKUP(D33,Q1:R9,2,FALSE)</f>
        <v>0</v>
      </c>
      <c r="N33" s="46">
        <f>M33*L33</f>
        <v>0</v>
      </c>
      <c r="O33" s="46">
        <f>IF(M33=0,0,L33*MAX(R2:R8))</f>
        <v>0</v>
      </c>
    </row>
    <row r="34" spans="1:19" ht="12" customHeight="1">
      <c r="A34" s="40"/>
      <c r="B34" s="48"/>
      <c r="C34" s="1"/>
      <c r="D34" s="47"/>
      <c r="E34" s="1"/>
      <c r="F34" s="1"/>
      <c r="G34" s="1"/>
      <c r="H34" s="1"/>
      <c r="I34" s="1"/>
      <c r="J34" s="1"/>
      <c r="K34" s="44"/>
      <c r="L34" s="45"/>
      <c r="M34" s="46"/>
      <c r="N34" s="46"/>
      <c r="O34" s="46"/>
    </row>
    <row r="35" spans="1:19" ht="39.75" customHeight="1">
      <c r="A35" s="40">
        <f>A33+1</f>
        <v>12</v>
      </c>
      <c r="B35" s="48" t="s">
        <v>104</v>
      </c>
      <c r="C35" s="1"/>
      <c r="D35" s="42" t="s">
        <v>4</v>
      </c>
      <c r="E35" s="1"/>
      <c r="F35" s="1" t="e">
        <f>#REF!*#REF!</f>
        <v>#REF!</v>
      </c>
      <c r="G35" s="1" t="e">
        <f>IF(#REF!&gt;=0,10*#REF!,0)</f>
        <v>#REF!</v>
      </c>
      <c r="H35" s="1"/>
      <c r="I35" s="43"/>
      <c r="J35" s="1"/>
      <c r="K35" s="44">
        <v>5</v>
      </c>
      <c r="L35" s="45">
        <f>K35/K117</f>
        <v>1</v>
      </c>
      <c r="M35" s="46">
        <f>VLOOKUP(D35,Q1:R9,2,FALSE)</f>
        <v>0</v>
      </c>
      <c r="N35" s="46">
        <f>M35*L35</f>
        <v>0</v>
      </c>
      <c r="O35" s="46">
        <f>IF(M35=0,0,L35*MAX(R2:R8))</f>
        <v>0</v>
      </c>
    </row>
    <row r="36" spans="1:19" ht="12" customHeight="1">
      <c r="A36" s="40"/>
      <c r="B36" s="48"/>
      <c r="C36" s="1"/>
      <c r="D36" s="47"/>
      <c r="E36" s="1"/>
      <c r="F36" s="1"/>
      <c r="G36" s="1"/>
      <c r="H36" s="1"/>
      <c r="I36" s="1"/>
      <c r="J36" s="1"/>
      <c r="K36" s="44"/>
      <c r="L36" s="45"/>
      <c r="M36" s="46"/>
      <c r="N36" s="46"/>
      <c r="O36" s="46"/>
    </row>
    <row r="37" spans="1:19" ht="39.75" customHeight="1">
      <c r="A37" s="40">
        <f>A35+1</f>
        <v>13</v>
      </c>
      <c r="B37" s="48" t="s">
        <v>106</v>
      </c>
      <c r="C37" s="1"/>
      <c r="D37" s="42" t="s">
        <v>4</v>
      </c>
      <c r="E37" s="1"/>
      <c r="F37" s="1" t="e">
        <f>#REF!*#REF!</f>
        <v>#REF!</v>
      </c>
      <c r="G37" s="1" t="e">
        <f>IF(#REF!&gt;=0,10*#REF!,0)</f>
        <v>#REF!</v>
      </c>
      <c r="H37" s="1"/>
      <c r="I37" s="43"/>
      <c r="J37" s="1"/>
      <c r="K37" s="44">
        <v>3</v>
      </c>
      <c r="L37" s="45">
        <f>K37/K117</f>
        <v>0.6</v>
      </c>
      <c r="M37" s="46">
        <f>VLOOKUP(D37,Q1:R9,2,FALSE)</f>
        <v>0</v>
      </c>
      <c r="N37" s="46">
        <f>M37*L37</f>
        <v>0</v>
      </c>
      <c r="O37" s="46">
        <f>IF(M37=0,0,L37*MAX(R2:R8))</f>
        <v>0</v>
      </c>
    </row>
    <row r="38" spans="1:19" ht="12" customHeight="1">
      <c r="A38" s="40"/>
      <c r="B38" s="48"/>
      <c r="C38" s="1"/>
      <c r="D38" s="47"/>
      <c r="E38" s="1"/>
      <c r="F38" s="1"/>
      <c r="G38" s="1"/>
      <c r="H38" s="1"/>
      <c r="I38" s="1"/>
      <c r="J38" s="1"/>
      <c r="K38" s="44"/>
      <c r="L38" s="45"/>
      <c r="M38" s="46"/>
      <c r="N38" s="46"/>
      <c r="O38" s="46"/>
    </row>
    <row r="39" spans="1:19" ht="39.75" customHeight="1">
      <c r="A39" s="40">
        <f>A37+1</f>
        <v>14</v>
      </c>
      <c r="B39" s="48" t="s">
        <v>108</v>
      </c>
      <c r="C39" s="1"/>
      <c r="D39" s="42" t="s">
        <v>4</v>
      </c>
      <c r="E39" s="1"/>
      <c r="F39" s="1" t="e">
        <f>#REF!*#REF!</f>
        <v>#REF!</v>
      </c>
      <c r="G39" s="1" t="e">
        <f>IF(#REF!&gt;=0,10*#REF!,0)</f>
        <v>#REF!</v>
      </c>
      <c r="H39" s="1"/>
      <c r="I39" s="43"/>
      <c r="J39" s="1"/>
      <c r="K39" s="44">
        <v>4</v>
      </c>
      <c r="L39" s="45">
        <f>K39/K117</f>
        <v>0.8</v>
      </c>
      <c r="M39" s="46">
        <f>VLOOKUP(D39,Q1:R9,2,FALSE)</f>
        <v>0</v>
      </c>
      <c r="N39" s="46">
        <f>M39*L39</f>
        <v>0</v>
      </c>
      <c r="O39" s="46">
        <f>IF(M39=0,0,L39*MAX(R2:R8))</f>
        <v>0</v>
      </c>
      <c r="Q39" s="48"/>
      <c r="R39" s="48"/>
      <c r="S39" s="48"/>
    </row>
    <row r="40" spans="1:19" ht="12" customHeight="1">
      <c r="A40" s="40"/>
      <c r="B40" s="48"/>
      <c r="C40" s="1"/>
      <c r="D40" s="47"/>
      <c r="E40" s="1"/>
      <c r="F40" s="1"/>
      <c r="G40" s="1"/>
      <c r="H40" s="1"/>
      <c r="I40" s="1"/>
      <c r="J40" s="1"/>
      <c r="K40" s="51"/>
      <c r="L40" s="52"/>
      <c r="M40" s="46"/>
      <c r="N40" s="58"/>
      <c r="O40" s="56"/>
      <c r="P40" s="18"/>
      <c r="Q40" s="18"/>
      <c r="R40" s="18"/>
      <c r="S40" s="18"/>
    </row>
    <row r="41" spans="1:19" ht="39.75" customHeight="1">
      <c r="A41" s="40">
        <f>A39+1</f>
        <v>15</v>
      </c>
      <c r="B41" s="48" t="s">
        <v>110</v>
      </c>
      <c r="C41" s="1"/>
      <c r="D41" s="42" t="s">
        <v>4</v>
      </c>
      <c r="E41" s="1"/>
      <c r="F41" s="1" t="e">
        <f>#REF!*#REF!</f>
        <v>#REF!</v>
      </c>
      <c r="G41" s="1" t="e">
        <f>IF(#REF!&gt;=0,10*#REF!,0)</f>
        <v>#REF!</v>
      </c>
      <c r="H41" s="1"/>
      <c r="I41" s="43"/>
      <c r="J41" s="1"/>
      <c r="K41" s="44">
        <v>2</v>
      </c>
      <c r="L41" s="45">
        <f>K41/K117</f>
        <v>0.4</v>
      </c>
      <c r="M41" s="46">
        <f>VLOOKUP(D41,Q1:R9,2,FALSE)</f>
        <v>0</v>
      </c>
      <c r="N41" s="46">
        <f>M41*L41</f>
        <v>0</v>
      </c>
      <c r="O41" s="46">
        <f>IF(M41=0,0,L41*MAX(R2:R8))</f>
        <v>0</v>
      </c>
    </row>
    <row r="42" spans="1:19" ht="12" customHeight="1">
      <c r="A42" s="40"/>
      <c r="B42" s="48"/>
      <c r="C42" s="1"/>
      <c r="D42" s="47"/>
      <c r="E42" s="1"/>
      <c r="F42" s="1"/>
      <c r="G42" s="1"/>
      <c r="H42" s="1"/>
      <c r="I42" s="1"/>
      <c r="J42" s="1"/>
      <c r="K42" s="44"/>
      <c r="L42" s="45"/>
      <c r="M42" s="46"/>
      <c r="N42" s="46"/>
      <c r="O42" s="46"/>
    </row>
    <row r="43" spans="1:19" ht="39.75" customHeight="1">
      <c r="A43" s="40">
        <f>A41+1</f>
        <v>16</v>
      </c>
      <c r="B43" s="48" t="s">
        <v>112</v>
      </c>
      <c r="C43" s="1"/>
      <c r="D43" s="42" t="s">
        <v>4</v>
      </c>
      <c r="E43" s="1"/>
      <c r="F43" s="1" t="e">
        <f>#REF!*#REF!</f>
        <v>#REF!</v>
      </c>
      <c r="G43" s="1" t="e">
        <f>IF(#REF!&gt;=0,10*#REF!,0)</f>
        <v>#REF!</v>
      </c>
      <c r="H43" s="1"/>
      <c r="I43" s="43"/>
      <c r="J43" s="1"/>
      <c r="K43" s="44">
        <v>2</v>
      </c>
      <c r="L43" s="45">
        <f>K43/K117</f>
        <v>0.4</v>
      </c>
      <c r="M43" s="46">
        <f>VLOOKUP(D43,Q1:R9,2,FALSE)</f>
        <v>0</v>
      </c>
      <c r="N43" s="46">
        <f>M43*L43</f>
        <v>0</v>
      </c>
      <c r="O43" s="46">
        <f>IF(M43=0,0,L43*MAX(R2:R8))</f>
        <v>0</v>
      </c>
    </row>
    <row r="44" spans="1:19" ht="12" customHeight="1">
      <c r="A44" s="40"/>
      <c r="B44" s="48"/>
      <c r="C44" s="1"/>
      <c r="D44" s="47"/>
      <c r="E44" s="1"/>
      <c r="F44" s="1"/>
      <c r="G44" s="1"/>
      <c r="H44" s="1"/>
      <c r="I44" s="1"/>
      <c r="J44" s="1"/>
      <c r="K44" s="44"/>
      <c r="L44" s="45"/>
      <c r="M44" s="46"/>
      <c r="N44" s="46"/>
      <c r="O44" s="46"/>
    </row>
    <row r="45" spans="1:19" ht="39.75" customHeight="1">
      <c r="A45" s="40">
        <f>A43+1</f>
        <v>17</v>
      </c>
      <c r="B45" s="48" t="s">
        <v>114</v>
      </c>
      <c r="C45" s="1"/>
      <c r="D45" s="42" t="s">
        <v>4</v>
      </c>
      <c r="E45" s="1"/>
      <c r="F45" s="1" t="e">
        <f>#REF!*#REF!</f>
        <v>#REF!</v>
      </c>
      <c r="G45" s="1" t="e">
        <f>IF(#REF!&gt;=0,10*#REF!,0)</f>
        <v>#REF!</v>
      </c>
      <c r="H45" s="1"/>
      <c r="I45" s="43"/>
      <c r="J45" s="1"/>
      <c r="K45" s="44">
        <v>1</v>
      </c>
      <c r="L45" s="45">
        <f>K45/K117</f>
        <v>0.2</v>
      </c>
      <c r="M45" s="46">
        <f>VLOOKUP(D45,Q1:R9,2,FALSE)</f>
        <v>0</v>
      </c>
      <c r="N45" s="46">
        <f>M45*L45</f>
        <v>0</v>
      </c>
      <c r="O45" s="46">
        <f>IF(M45=0,0,L45*MAX(R2:R8))</f>
        <v>0</v>
      </c>
    </row>
    <row r="46" spans="1:19" ht="12" customHeight="1">
      <c r="B46" s="32"/>
      <c r="C46" s="1"/>
      <c r="D46" s="47"/>
      <c r="E46" s="1"/>
      <c r="F46" s="1"/>
      <c r="G46" s="1"/>
      <c r="H46" s="1"/>
      <c r="I46" s="1"/>
      <c r="J46" s="1"/>
      <c r="K46" s="44"/>
      <c r="L46" s="45"/>
      <c r="M46" s="46"/>
      <c r="N46" s="46"/>
      <c r="O46" s="46"/>
    </row>
    <row r="47" spans="1:19" ht="15.75" customHeight="1">
      <c r="A47" s="9" t="s">
        <v>48</v>
      </c>
      <c r="C47" s="38"/>
      <c r="D47" s="57"/>
      <c r="E47" s="1"/>
      <c r="F47" s="1"/>
      <c r="G47" s="1"/>
      <c r="H47" s="1"/>
      <c r="I47" s="1"/>
      <c r="J47" s="1"/>
      <c r="K47" s="44"/>
      <c r="L47" s="45"/>
      <c r="M47" s="46"/>
      <c r="N47" s="46"/>
      <c r="O47" s="46"/>
    </row>
    <row r="48" spans="1:19" ht="14.25" customHeight="1">
      <c r="B48" s="55"/>
      <c r="C48" s="38"/>
      <c r="D48" s="57"/>
      <c r="E48" s="1"/>
      <c r="F48" s="1"/>
      <c r="G48" s="1"/>
      <c r="H48" s="1"/>
      <c r="I48" s="1"/>
      <c r="J48" s="1"/>
      <c r="K48" s="44"/>
      <c r="L48" s="45"/>
      <c r="M48" s="46"/>
      <c r="N48" s="46"/>
      <c r="O48" s="46"/>
    </row>
    <row r="49" spans="1:15" ht="39.75" customHeight="1">
      <c r="A49" s="40">
        <f>A45+1</f>
        <v>18</v>
      </c>
      <c r="B49" s="48" t="s">
        <v>116</v>
      </c>
      <c r="C49" s="1"/>
      <c r="D49" s="42" t="s">
        <v>4</v>
      </c>
      <c r="E49" s="1"/>
      <c r="F49" s="1" t="e">
        <f>#REF!*#REF!</f>
        <v>#REF!</v>
      </c>
      <c r="G49" s="1" t="e">
        <f>IF(#REF!&gt;=0,10*#REF!,0)</f>
        <v>#REF!</v>
      </c>
      <c r="H49" s="1"/>
      <c r="I49" s="43"/>
      <c r="J49" s="1"/>
      <c r="K49" s="44">
        <v>4</v>
      </c>
      <c r="L49" s="45">
        <f>K49/K117</f>
        <v>0.8</v>
      </c>
      <c r="M49" s="46">
        <f>VLOOKUP(D49,Q1:R9,2,FALSE)</f>
        <v>0</v>
      </c>
      <c r="N49" s="46">
        <f>M49*L49</f>
        <v>0</v>
      </c>
      <c r="O49" s="46">
        <f>IF(M49=0,0,L49*MAX(R2:R8))</f>
        <v>0</v>
      </c>
    </row>
    <row r="50" spans="1:15" ht="12" customHeight="1">
      <c r="A50" s="40"/>
      <c r="B50" s="48"/>
      <c r="C50" s="1"/>
      <c r="D50" s="47"/>
      <c r="E50" s="1"/>
      <c r="F50" s="1"/>
      <c r="G50" s="1"/>
      <c r="H50" s="1"/>
      <c r="I50" s="1"/>
      <c r="J50" s="1"/>
      <c r="K50" s="44"/>
      <c r="L50" s="45"/>
      <c r="M50" s="46"/>
      <c r="N50" s="46"/>
      <c r="O50" s="46"/>
    </row>
    <row r="51" spans="1:15" ht="39.75" customHeight="1">
      <c r="A51" s="40">
        <f>A49+1</f>
        <v>19</v>
      </c>
      <c r="B51" s="48" t="s">
        <v>118</v>
      </c>
      <c r="C51" s="1"/>
      <c r="D51" s="42" t="s">
        <v>4</v>
      </c>
      <c r="E51" s="1"/>
      <c r="F51" s="1" t="e">
        <f>#REF!*#REF!</f>
        <v>#REF!</v>
      </c>
      <c r="G51" s="1" t="e">
        <f>IF(#REF!&gt;=0,10*#REF!,0)</f>
        <v>#REF!</v>
      </c>
      <c r="H51" s="1"/>
      <c r="I51" s="43"/>
      <c r="J51" s="1"/>
      <c r="K51" s="44">
        <v>4</v>
      </c>
      <c r="L51" s="45">
        <f>K51/K117</f>
        <v>0.8</v>
      </c>
      <c r="M51" s="46">
        <f>VLOOKUP(D51,Q1:R9,2,FALSE)</f>
        <v>0</v>
      </c>
      <c r="N51" s="46">
        <f>M51*L51</f>
        <v>0</v>
      </c>
      <c r="O51" s="46">
        <f>IF(M51=0,0,L51*MAX(R2:R8))</f>
        <v>0</v>
      </c>
    </row>
    <row r="52" spans="1:15" ht="12" customHeight="1">
      <c r="A52" s="40"/>
      <c r="B52" s="48"/>
      <c r="C52" s="1"/>
      <c r="D52" s="47"/>
      <c r="E52" s="1"/>
      <c r="F52" s="1"/>
      <c r="G52" s="1"/>
      <c r="H52" s="1"/>
      <c r="I52" s="1"/>
      <c r="J52" s="1"/>
      <c r="K52" s="44"/>
      <c r="L52" s="45"/>
      <c r="M52" s="46"/>
      <c r="N52" s="46"/>
      <c r="O52" s="46"/>
    </row>
    <row r="53" spans="1:15" ht="39.75" customHeight="1">
      <c r="A53" s="40">
        <f>A51+1</f>
        <v>20</v>
      </c>
      <c r="B53" s="48" t="s">
        <v>120</v>
      </c>
      <c r="C53" s="1"/>
      <c r="D53" s="42" t="s">
        <v>4</v>
      </c>
      <c r="E53" s="1"/>
      <c r="F53" s="1" t="e">
        <f>#REF!*#REF!</f>
        <v>#REF!</v>
      </c>
      <c r="G53" s="1" t="e">
        <f>IF(#REF!&gt;=0,10*#REF!,0)</f>
        <v>#REF!</v>
      </c>
      <c r="H53" s="1"/>
      <c r="I53" s="43"/>
      <c r="J53" s="1"/>
      <c r="K53" s="44">
        <v>2</v>
      </c>
      <c r="L53" s="45">
        <f>K53/K117</f>
        <v>0.4</v>
      </c>
      <c r="M53" s="46">
        <f>VLOOKUP(D53,Q1:R9,2,FALSE)</f>
        <v>0</v>
      </c>
      <c r="N53" s="46">
        <f>M53*L53</f>
        <v>0</v>
      </c>
      <c r="O53" s="46">
        <f>IF(M53=0,0,L53*MAX(R2:R8))</f>
        <v>0</v>
      </c>
    </row>
    <row r="54" spans="1:15" ht="12" customHeight="1">
      <c r="A54" s="40"/>
      <c r="B54" s="48"/>
      <c r="C54" s="1"/>
      <c r="D54" s="47"/>
      <c r="E54" s="1"/>
      <c r="F54" s="1"/>
      <c r="G54" s="1"/>
      <c r="H54" s="1"/>
      <c r="I54" s="1"/>
      <c r="J54" s="1"/>
      <c r="K54" s="44"/>
      <c r="L54" s="45"/>
      <c r="M54" s="46"/>
      <c r="N54" s="46"/>
      <c r="O54" s="46"/>
    </row>
    <row r="55" spans="1:15" ht="39.75" customHeight="1">
      <c r="A55" s="40">
        <f>A53+1</f>
        <v>21</v>
      </c>
      <c r="B55" s="48" t="s">
        <v>122</v>
      </c>
      <c r="C55" s="1"/>
      <c r="D55" s="42" t="s">
        <v>4</v>
      </c>
      <c r="E55" s="1"/>
      <c r="F55" s="1" t="e">
        <f>#REF!*#REF!</f>
        <v>#REF!</v>
      </c>
      <c r="G55" s="1" t="e">
        <f>IF(#REF!&gt;=0,10*#REF!,0)</f>
        <v>#REF!</v>
      </c>
      <c r="H55" s="1"/>
      <c r="I55" s="43"/>
      <c r="J55" s="1"/>
      <c r="K55" s="44">
        <v>4</v>
      </c>
      <c r="L55" s="45">
        <f>K55/K117</f>
        <v>0.8</v>
      </c>
      <c r="M55" s="46">
        <f>VLOOKUP(D55,Q1:R9,2,FALSE)</f>
        <v>0</v>
      </c>
      <c r="N55" s="46">
        <f>M55*L55</f>
        <v>0</v>
      </c>
      <c r="O55" s="46">
        <f>IF(M55=0,0,L55*MAX(R2:R8))</f>
        <v>0</v>
      </c>
    </row>
    <row r="56" spans="1:15" ht="12" customHeight="1">
      <c r="B56" s="32"/>
      <c r="C56" s="1"/>
      <c r="D56" s="47"/>
      <c r="E56" s="1"/>
      <c r="F56" s="1"/>
      <c r="G56" s="1"/>
      <c r="H56" s="1"/>
      <c r="I56" s="1"/>
      <c r="J56" s="1"/>
      <c r="K56" s="44"/>
      <c r="L56" s="45"/>
      <c r="M56" s="46"/>
      <c r="N56" s="46"/>
      <c r="O56" s="46"/>
    </row>
    <row r="57" spans="1:15" ht="15.75" customHeight="1">
      <c r="A57" s="9" t="s">
        <v>53</v>
      </c>
      <c r="C57" s="38"/>
      <c r="D57" s="57"/>
      <c r="E57" s="38"/>
      <c r="F57" s="1"/>
      <c r="G57" s="1"/>
      <c r="H57" s="1"/>
      <c r="I57" s="1"/>
      <c r="J57" s="1"/>
      <c r="K57" s="44"/>
      <c r="L57" s="45"/>
      <c r="M57" s="46"/>
      <c r="N57" s="46"/>
      <c r="O57" s="46"/>
    </row>
    <row r="58" spans="1:15" ht="14.25" customHeight="1">
      <c r="B58" s="55"/>
      <c r="C58" s="38"/>
      <c r="D58" s="57"/>
      <c r="E58" s="38"/>
      <c r="F58" s="1"/>
      <c r="G58" s="1"/>
      <c r="H58" s="1"/>
      <c r="I58" s="1"/>
      <c r="J58" s="1"/>
      <c r="K58" s="44"/>
      <c r="L58" s="45"/>
      <c r="M58" s="46"/>
      <c r="N58" s="46"/>
      <c r="O58" s="46"/>
    </row>
    <row r="59" spans="1:15" ht="39.75" customHeight="1">
      <c r="A59" s="40">
        <f>A55+1</f>
        <v>22</v>
      </c>
      <c r="B59" s="48" t="s">
        <v>124</v>
      </c>
      <c r="C59" s="1"/>
      <c r="D59" s="42" t="s">
        <v>4</v>
      </c>
      <c r="E59" s="1"/>
      <c r="F59" s="1" t="e">
        <f>#REF!*#REF!</f>
        <v>#REF!</v>
      </c>
      <c r="G59" s="1" t="e">
        <f>IF(#REF!&gt;=0,10*#REF!,0)</f>
        <v>#REF!</v>
      </c>
      <c r="H59" s="1"/>
      <c r="I59" s="43"/>
      <c r="J59" s="1"/>
      <c r="K59" s="44">
        <v>4</v>
      </c>
      <c r="L59" s="45">
        <f>K59/K117</f>
        <v>0.8</v>
      </c>
      <c r="M59" s="46">
        <f>VLOOKUP(D59,Q1:R9,2,FALSE)</f>
        <v>0</v>
      </c>
      <c r="N59" s="46">
        <f>M59*L59</f>
        <v>0</v>
      </c>
      <c r="O59" s="46">
        <f>IF(M59=0,0,L59*MAX(R2:R8))</f>
        <v>0</v>
      </c>
    </row>
    <row r="60" spans="1:15" ht="12" customHeight="1">
      <c r="A60" s="40"/>
      <c r="B60" s="48"/>
      <c r="C60" s="1"/>
      <c r="D60" s="47"/>
      <c r="E60" s="1"/>
      <c r="F60" s="1"/>
      <c r="G60" s="1"/>
      <c r="H60" s="1"/>
      <c r="I60" s="1"/>
      <c r="J60" s="1"/>
      <c r="K60" s="44"/>
      <c r="L60" s="45"/>
      <c r="M60" s="46"/>
      <c r="N60" s="46"/>
      <c r="O60" s="46"/>
    </row>
    <row r="61" spans="1:15" ht="39.75" customHeight="1">
      <c r="A61" s="40">
        <f>A59+1</f>
        <v>23</v>
      </c>
      <c r="B61" s="48" t="s">
        <v>125</v>
      </c>
      <c r="C61" s="1"/>
      <c r="D61" s="42" t="s">
        <v>4</v>
      </c>
      <c r="E61" s="1"/>
      <c r="F61" s="1" t="e">
        <f>#REF!*#REF!</f>
        <v>#REF!</v>
      </c>
      <c r="G61" s="1" t="e">
        <f>IF(#REF!&gt;=0,10*#REF!,0)</f>
        <v>#REF!</v>
      </c>
      <c r="H61" s="1"/>
      <c r="I61" s="43"/>
      <c r="J61" s="1"/>
      <c r="K61" s="44">
        <v>3</v>
      </c>
      <c r="L61" s="45">
        <f>K61/K117</f>
        <v>0.6</v>
      </c>
      <c r="M61" s="46">
        <f>VLOOKUP(D61,Q1:R9,2,FALSE)</f>
        <v>0</v>
      </c>
      <c r="N61" s="46">
        <f>M61*L61</f>
        <v>0</v>
      </c>
      <c r="O61" s="46">
        <f>IF(M61=0,0,L61*MAX(R2:R8))</f>
        <v>0</v>
      </c>
    </row>
    <row r="62" spans="1:15" ht="12" customHeight="1">
      <c r="A62" s="40"/>
      <c r="B62" s="48"/>
      <c r="C62" s="1"/>
      <c r="D62" s="47"/>
      <c r="E62" s="1"/>
      <c r="F62" s="1"/>
      <c r="G62" s="1"/>
      <c r="H62" s="1"/>
      <c r="I62" s="1"/>
      <c r="J62" s="1"/>
      <c r="K62" s="44"/>
      <c r="L62" s="45"/>
      <c r="M62" s="46"/>
      <c r="N62" s="46"/>
      <c r="O62" s="46"/>
    </row>
    <row r="63" spans="1:15" ht="39.75" customHeight="1">
      <c r="A63" s="40">
        <f>A61+1</f>
        <v>24</v>
      </c>
      <c r="B63" s="48" t="s">
        <v>127</v>
      </c>
      <c r="C63" s="1"/>
      <c r="D63" s="42" t="s">
        <v>4</v>
      </c>
      <c r="E63" s="1"/>
      <c r="F63" s="1" t="e">
        <f>#REF!*#REF!</f>
        <v>#REF!</v>
      </c>
      <c r="G63" s="1" t="e">
        <f>IF(#REF!&gt;=0,10*#REF!,0)</f>
        <v>#REF!</v>
      </c>
      <c r="H63" s="1"/>
      <c r="I63" s="43"/>
      <c r="J63" s="1"/>
      <c r="K63" s="44">
        <v>1</v>
      </c>
      <c r="L63" s="45">
        <f>K63/K117</f>
        <v>0.2</v>
      </c>
      <c r="M63" s="46">
        <f>VLOOKUP(D63,Q1:R9,2,FALSE)</f>
        <v>0</v>
      </c>
      <c r="N63" s="46">
        <f>M63*L63</f>
        <v>0</v>
      </c>
      <c r="O63" s="46">
        <f>IF(M63=0,0,L63*MAX(R2:R8))</f>
        <v>0</v>
      </c>
    </row>
    <row r="64" spans="1:15" ht="12" customHeight="1">
      <c r="B64" s="31"/>
      <c r="C64" s="1"/>
      <c r="D64" s="47"/>
      <c r="E64" s="1"/>
      <c r="F64" s="1"/>
      <c r="G64" s="1"/>
      <c r="H64" s="1"/>
      <c r="I64" s="1"/>
      <c r="J64" s="1"/>
      <c r="K64" s="44"/>
      <c r="L64" s="45"/>
      <c r="M64" s="46"/>
      <c r="N64" s="46"/>
      <c r="O64" s="46"/>
    </row>
    <row r="65" spans="1:15" ht="15.75" customHeight="1">
      <c r="A65" s="9" t="s">
        <v>57</v>
      </c>
      <c r="C65" s="38"/>
      <c r="D65" s="57"/>
      <c r="E65" s="38"/>
      <c r="F65" s="1"/>
      <c r="G65" s="1"/>
      <c r="H65" s="1"/>
      <c r="I65" s="1"/>
      <c r="J65" s="1"/>
      <c r="K65" s="44"/>
      <c r="L65" s="45"/>
      <c r="M65" s="46"/>
      <c r="N65" s="46"/>
      <c r="O65" s="46"/>
    </row>
    <row r="66" spans="1:15" ht="14.25" customHeight="1">
      <c r="B66" s="55"/>
      <c r="C66" s="38"/>
      <c r="D66" s="57"/>
      <c r="E66" s="38"/>
      <c r="F66" s="1"/>
      <c r="G66" s="1"/>
      <c r="H66" s="1"/>
      <c r="I66" s="1"/>
      <c r="J66" s="1"/>
      <c r="K66" s="44"/>
      <c r="L66" s="45"/>
      <c r="M66" s="46"/>
      <c r="N66" s="46"/>
      <c r="O66" s="46"/>
    </row>
    <row r="67" spans="1:15" ht="39.75" customHeight="1">
      <c r="A67" s="40">
        <f>A63+1</f>
        <v>25</v>
      </c>
      <c r="B67" s="48" t="s">
        <v>129</v>
      </c>
      <c r="C67" s="1"/>
      <c r="D67" s="42" t="s">
        <v>4</v>
      </c>
      <c r="E67" s="1"/>
      <c r="F67" s="1" t="e">
        <f>#REF!*#REF!</f>
        <v>#REF!</v>
      </c>
      <c r="G67" s="1" t="e">
        <f>IF(#REF!&gt;=0,10*#REF!,0)</f>
        <v>#REF!</v>
      </c>
      <c r="H67" s="1"/>
      <c r="I67" s="43"/>
      <c r="J67" s="1"/>
      <c r="K67" s="44">
        <v>3</v>
      </c>
      <c r="L67" s="45">
        <f>K67/K117</f>
        <v>0.6</v>
      </c>
      <c r="M67" s="46">
        <f>VLOOKUP(D67,Q1:R9,2,FALSE)</f>
        <v>0</v>
      </c>
      <c r="N67" s="46">
        <f>M67*L67</f>
        <v>0</v>
      </c>
      <c r="O67" s="46">
        <f>IF(M67=0,0,L67*MAX(R2:R8))</f>
        <v>0</v>
      </c>
    </row>
    <row r="68" spans="1:15" ht="12" customHeight="1">
      <c r="A68" s="40"/>
      <c r="B68" s="48"/>
      <c r="C68" s="1"/>
      <c r="D68" s="47"/>
      <c r="E68" s="1"/>
      <c r="F68" s="1"/>
      <c r="G68" s="1"/>
      <c r="H68" s="1"/>
      <c r="I68" s="1"/>
      <c r="J68" s="1"/>
      <c r="K68" s="44"/>
      <c r="L68" s="45"/>
      <c r="M68" s="46"/>
      <c r="N68" s="46"/>
      <c r="O68" s="46"/>
    </row>
    <row r="69" spans="1:15" ht="39.75" customHeight="1">
      <c r="A69" s="40">
        <f>A67+1</f>
        <v>26</v>
      </c>
      <c r="B69" s="48" t="s">
        <v>131</v>
      </c>
      <c r="C69" s="1"/>
      <c r="D69" s="42" t="s">
        <v>4</v>
      </c>
      <c r="E69" s="1"/>
      <c r="F69" s="1" t="e">
        <f>#REF!*#REF!</f>
        <v>#REF!</v>
      </c>
      <c r="G69" s="1" t="e">
        <f>IF(#REF!&gt;=0,10*#REF!,0)</f>
        <v>#REF!</v>
      </c>
      <c r="H69" s="1"/>
      <c r="I69" s="43"/>
      <c r="J69" s="1"/>
      <c r="K69" s="44">
        <v>2</v>
      </c>
      <c r="L69" s="45">
        <f>K69/K117</f>
        <v>0.4</v>
      </c>
      <c r="M69" s="46">
        <f>VLOOKUP(D69,Q1:R9,2,FALSE)</f>
        <v>0</v>
      </c>
      <c r="N69" s="46">
        <f>M69*L69</f>
        <v>0</v>
      </c>
      <c r="O69" s="46">
        <f>IF(M69=0,0,L69*MAX(R2:R8))</f>
        <v>0</v>
      </c>
    </row>
    <row r="70" spans="1:15" ht="12" customHeight="1">
      <c r="A70" s="40"/>
      <c r="B70" s="48"/>
      <c r="C70" s="1"/>
      <c r="D70" s="47"/>
      <c r="E70" s="1"/>
      <c r="F70" s="1"/>
      <c r="G70" s="1"/>
      <c r="H70" s="1"/>
      <c r="I70" s="1"/>
      <c r="J70" s="1"/>
      <c r="K70" s="44"/>
      <c r="L70" s="45"/>
      <c r="M70" s="46"/>
      <c r="N70" s="46"/>
      <c r="O70" s="46"/>
    </row>
    <row r="71" spans="1:15" ht="39.75" customHeight="1">
      <c r="A71" s="40">
        <f>A69+1</f>
        <v>27</v>
      </c>
      <c r="B71" s="48" t="s">
        <v>134</v>
      </c>
      <c r="C71" s="1"/>
      <c r="D71" s="42" t="s">
        <v>4</v>
      </c>
      <c r="E71" s="1"/>
      <c r="F71" s="1" t="e">
        <f>#REF!*#REF!</f>
        <v>#REF!</v>
      </c>
      <c r="G71" s="1" t="e">
        <f>IF(#REF!&gt;=0,10*#REF!,0)</f>
        <v>#REF!</v>
      </c>
      <c r="H71" s="1"/>
      <c r="I71" s="43"/>
      <c r="J71" s="1"/>
      <c r="K71" s="44">
        <v>2</v>
      </c>
      <c r="L71" s="45">
        <f>K71/K117</f>
        <v>0.4</v>
      </c>
      <c r="M71" s="46">
        <f>VLOOKUP(D71,Q1:R9,2,FALSE)</f>
        <v>0</v>
      </c>
      <c r="N71" s="46">
        <f>M71*L71</f>
        <v>0</v>
      </c>
      <c r="O71" s="46">
        <f>IF(M71=0,0,L71*MAX(R2:R8))</f>
        <v>0</v>
      </c>
    </row>
    <row r="72" spans="1:15" ht="12" customHeight="1">
      <c r="A72" s="40"/>
      <c r="B72" s="48"/>
      <c r="C72" s="1"/>
      <c r="D72" s="47"/>
      <c r="E72" s="1"/>
      <c r="F72" s="1"/>
      <c r="G72" s="1"/>
      <c r="H72" s="1"/>
      <c r="I72" s="1"/>
      <c r="J72" s="1"/>
      <c r="K72" s="44"/>
      <c r="L72" s="45"/>
      <c r="M72" s="46"/>
      <c r="N72" s="46"/>
      <c r="O72" s="46"/>
    </row>
    <row r="73" spans="1:15" ht="39.75" customHeight="1">
      <c r="A73" s="40">
        <f>A71+1</f>
        <v>28</v>
      </c>
      <c r="B73" s="48" t="s">
        <v>136</v>
      </c>
      <c r="C73" s="1"/>
      <c r="D73" s="42" t="s">
        <v>4</v>
      </c>
      <c r="E73" s="1"/>
      <c r="F73" s="1" t="e">
        <f>#REF!*#REF!</f>
        <v>#REF!</v>
      </c>
      <c r="G73" s="1" t="e">
        <f>IF(#REF!&gt;=0,10*#REF!,0)</f>
        <v>#REF!</v>
      </c>
      <c r="H73" s="1"/>
      <c r="I73" s="43"/>
      <c r="J73" s="1"/>
      <c r="K73" s="44">
        <v>3</v>
      </c>
      <c r="L73" s="45">
        <f>K73/K117</f>
        <v>0.6</v>
      </c>
      <c r="M73" s="46">
        <f>VLOOKUP(D73,Q1:R9,2,FALSE)</f>
        <v>0</v>
      </c>
      <c r="N73" s="46">
        <f>M73*L73</f>
        <v>0</v>
      </c>
      <c r="O73" s="46">
        <f>IF(M73=0,0,L73*MAX(R2:R8))</f>
        <v>0</v>
      </c>
    </row>
    <row r="74" spans="1:15" ht="12" customHeight="1">
      <c r="A74" s="40"/>
      <c r="B74" s="48"/>
      <c r="C74" s="1"/>
      <c r="D74" s="47"/>
      <c r="E74" s="1"/>
      <c r="F74" s="1"/>
      <c r="G74" s="1"/>
      <c r="H74" s="1"/>
      <c r="I74" s="1"/>
      <c r="J74" s="1"/>
      <c r="K74" s="44"/>
      <c r="L74" s="45"/>
      <c r="M74" s="46"/>
      <c r="N74" s="46"/>
      <c r="O74" s="46"/>
    </row>
    <row r="75" spans="1:15" ht="39.75" customHeight="1">
      <c r="A75" s="40">
        <f>A73+1</f>
        <v>29</v>
      </c>
      <c r="B75" s="48" t="s">
        <v>138</v>
      </c>
      <c r="C75" s="1"/>
      <c r="D75" s="42" t="s">
        <v>4</v>
      </c>
      <c r="E75" s="1"/>
      <c r="F75" s="1" t="e">
        <f>#REF!*#REF!</f>
        <v>#REF!</v>
      </c>
      <c r="G75" s="1" t="e">
        <f>IF(#REF!&gt;=0,10*#REF!,0)</f>
        <v>#REF!</v>
      </c>
      <c r="H75" s="1"/>
      <c r="I75" s="43"/>
      <c r="J75" s="1"/>
      <c r="K75" s="44">
        <v>3</v>
      </c>
      <c r="L75" s="45">
        <f>K75/K117</f>
        <v>0.6</v>
      </c>
      <c r="M75" s="46">
        <f>VLOOKUP(D75,Q1:R9,2,FALSE)</f>
        <v>0</v>
      </c>
      <c r="N75" s="46">
        <f>M75*L75</f>
        <v>0</v>
      </c>
      <c r="O75" s="46">
        <f>IF(M75=0,0,L75*MAX(R2:R8))</f>
        <v>0</v>
      </c>
    </row>
    <row r="76" spans="1:15" ht="12" customHeight="1">
      <c r="B76" s="32"/>
      <c r="C76" s="1"/>
      <c r="D76" s="47"/>
      <c r="E76" s="1"/>
      <c r="F76" s="1"/>
      <c r="G76" s="1"/>
      <c r="H76" s="1"/>
      <c r="I76" s="1"/>
      <c r="J76" s="1"/>
      <c r="K76" s="44"/>
      <c r="L76" s="45"/>
      <c r="M76" s="46"/>
      <c r="N76" s="46"/>
      <c r="O76" s="46"/>
    </row>
    <row r="77" spans="1:15" ht="15.75" customHeight="1">
      <c r="A77" s="9" t="s">
        <v>63</v>
      </c>
      <c r="C77" s="38"/>
      <c r="D77" s="57"/>
      <c r="E77" s="1"/>
      <c r="F77" s="1"/>
      <c r="G77" s="1"/>
      <c r="H77" s="1"/>
      <c r="I77" s="1"/>
      <c r="J77" s="1"/>
      <c r="K77" s="44"/>
      <c r="L77" s="45"/>
      <c r="M77" s="46"/>
      <c r="N77" s="46"/>
      <c r="O77" s="46"/>
    </row>
    <row r="78" spans="1:15" ht="14.25" customHeight="1">
      <c r="B78" s="55"/>
      <c r="C78" s="38"/>
      <c r="D78" s="57"/>
      <c r="E78" s="1"/>
      <c r="F78" s="1"/>
      <c r="G78" s="1"/>
      <c r="H78" s="1"/>
      <c r="I78" s="1"/>
      <c r="J78" s="1"/>
      <c r="K78" s="44"/>
      <c r="L78" s="45"/>
      <c r="M78" s="46"/>
      <c r="N78" s="46"/>
      <c r="O78" s="46"/>
    </row>
    <row r="79" spans="1:15" ht="39.75" customHeight="1">
      <c r="A79" s="40">
        <f>A75+1</f>
        <v>30</v>
      </c>
      <c r="B79" s="48" t="s">
        <v>140</v>
      </c>
      <c r="C79" s="1"/>
      <c r="D79" s="42" t="s">
        <v>4</v>
      </c>
      <c r="E79" s="1"/>
      <c r="F79" s="1" t="e">
        <f>#REF!*#REF!</f>
        <v>#REF!</v>
      </c>
      <c r="G79" s="1" t="e">
        <f>IF(#REF!&gt;=0,10*#REF!,0)</f>
        <v>#REF!</v>
      </c>
      <c r="H79" s="1"/>
      <c r="I79" s="43"/>
      <c r="J79" s="1"/>
      <c r="K79" s="44">
        <v>4</v>
      </c>
      <c r="L79" s="45">
        <f>K79/K117</f>
        <v>0.8</v>
      </c>
      <c r="M79" s="46">
        <f>VLOOKUP(D79,Q1:R9,2,FALSE)</f>
        <v>0</v>
      </c>
      <c r="N79" s="46">
        <f>M79*L79</f>
        <v>0</v>
      </c>
      <c r="O79" s="46">
        <f>IF(M79=0,0,L79*MAX(R2:R8))</f>
        <v>0</v>
      </c>
    </row>
    <row r="80" spans="1:15" ht="12" customHeight="1">
      <c r="A80" s="40"/>
      <c r="B80" s="48"/>
      <c r="C80" s="1"/>
      <c r="D80" s="47"/>
      <c r="E80" s="1"/>
      <c r="F80" s="1"/>
      <c r="G80" s="1"/>
      <c r="H80" s="1"/>
      <c r="I80" s="1"/>
      <c r="J80" s="1"/>
      <c r="K80" s="44"/>
      <c r="L80" s="45"/>
      <c r="M80" s="46"/>
      <c r="N80" s="46"/>
      <c r="O80" s="46"/>
    </row>
    <row r="81" spans="1:15" ht="39.75" customHeight="1">
      <c r="A81" s="40">
        <f>A79+1</f>
        <v>31</v>
      </c>
      <c r="B81" s="48" t="s">
        <v>143</v>
      </c>
      <c r="C81" s="1"/>
      <c r="D81" s="42" t="s">
        <v>4</v>
      </c>
      <c r="E81" s="1"/>
      <c r="F81" s="1" t="e">
        <f>#REF!*#REF!</f>
        <v>#REF!</v>
      </c>
      <c r="G81" s="1" t="e">
        <f>IF(#REF!&gt;=0,10*#REF!,0)</f>
        <v>#REF!</v>
      </c>
      <c r="H81" s="1"/>
      <c r="I81" s="43"/>
      <c r="J81" s="1"/>
      <c r="K81" s="44">
        <v>3</v>
      </c>
      <c r="L81" s="45">
        <f>K81/K117</f>
        <v>0.6</v>
      </c>
      <c r="M81" s="46">
        <f>VLOOKUP(D81,Q1:R9,2,FALSE)</f>
        <v>0</v>
      </c>
      <c r="N81" s="46">
        <f>M81*L81</f>
        <v>0</v>
      </c>
      <c r="O81" s="46">
        <f>IF(M81=0,0,L81*MAX(R2:R8))</f>
        <v>0</v>
      </c>
    </row>
    <row r="82" spans="1:15" ht="12" customHeight="1">
      <c r="A82" s="40"/>
      <c r="B82" s="48"/>
      <c r="C82" s="1"/>
      <c r="D82" s="47"/>
      <c r="E82" s="1"/>
      <c r="F82" s="1"/>
      <c r="G82" s="1"/>
      <c r="H82" s="1"/>
      <c r="I82" s="1"/>
      <c r="J82" s="1"/>
      <c r="K82" s="44"/>
      <c r="L82" s="45"/>
      <c r="M82" s="46"/>
      <c r="N82" s="46"/>
      <c r="O82" s="46"/>
    </row>
    <row r="83" spans="1:15" ht="39.75" customHeight="1">
      <c r="A83" s="40">
        <f>A81+1</f>
        <v>32</v>
      </c>
      <c r="B83" s="48" t="s">
        <v>151</v>
      </c>
      <c r="C83" s="1"/>
      <c r="D83" s="42" t="s">
        <v>4</v>
      </c>
      <c r="E83" s="1"/>
      <c r="F83" s="1" t="e">
        <f>#REF!*#REF!</f>
        <v>#REF!</v>
      </c>
      <c r="G83" s="1" t="e">
        <f>IF(#REF!&gt;=0,10*#REF!,0)</f>
        <v>#REF!</v>
      </c>
      <c r="H83" s="1"/>
      <c r="I83" s="43"/>
      <c r="J83" s="1"/>
      <c r="K83" s="44">
        <v>3</v>
      </c>
      <c r="L83" s="45">
        <f>K83/K117</f>
        <v>0.6</v>
      </c>
      <c r="M83" s="46">
        <f>VLOOKUP(D83,Q1:R9,2,FALSE)</f>
        <v>0</v>
      </c>
      <c r="N83" s="46">
        <f>M83*L83</f>
        <v>0</v>
      </c>
      <c r="O83" s="46">
        <f>IF(M83=0,0,L83*MAX(R2:R8))</f>
        <v>0</v>
      </c>
    </row>
    <row r="84" spans="1:15" ht="12" customHeight="1">
      <c r="A84" s="40"/>
      <c r="B84" s="48"/>
      <c r="C84" s="1"/>
      <c r="D84" s="47"/>
      <c r="E84" s="1"/>
      <c r="F84" s="1"/>
      <c r="G84" s="1"/>
      <c r="H84" s="1"/>
      <c r="I84" s="1"/>
      <c r="J84" s="1"/>
      <c r="K84" s="44"/>
      <c r="L84" s="45"/>
      <c r="M84" s="46"/>
      <c r="N84" s="46"/>
      <c r="O84" s="46"/>
    </row>
    <row r="85" spans="1:15" ht="39.75" customHeight="1">
      <c r="A85" s="40">
        <f>A83+1</f>
        <v>33</v>
      </c>
      <c r="B85" s="48" t="s">
        <v>154</v>
      </c>
      <c r="C85" s="1"/>
      <c r="D85" s="42" t="s">
        <v>4</v>
      </c>
      <c r="E85" s="1"/>
      <c r="F85" s="1" t="e">
        <f>#REF!*#REF!</f>
        <v>#REF!</v>
      </c>
      <c r="G85" s="1" t="e">
        <f>IF(#REF!&gt;=0,10*#REF!,0)</f>
        <v>#REF!</v>
      </c>
      <c r="H85" s="1"/>
      <c r="I85" s="43"/>
      <c r="J85" s="1"/>
      <c r="K85" s="44">
        <v>3</v>
      </c>
      <c r="L85" s="45">
        <f>K85/K117</f>
        <v>0.6</v>
      </c>
      <c r="M85" s="46">
        <f>VLOOKUP(D85,Q1:R9,2,FALSE)</f>
        <v>0</v>
      </c>
      <c r="N85" s="46">
        <f>M85*L85</f>
        <v>0</v>
      </c>
      <c r="O85" s="46">
        <f>IF(M85=0,0,L85*MAX(R2:R8))</f>
        <v>0</v>
      </c>
    </row>
    <row r="86" spans="1:15" ht="12" customHeight="1">
      <c r="B86" s="32"/>
      <c r="C86" s="1"/>
      <c r="D86" s="47"/>
      <c r="E86" s="1"/>
      <c r="F86" s="1"/>
      <c r="G86" s="1"/>
      <c r="H86" s="1"/>
      <c r="I86" s="1"/>
      <c r="J86" s="1"/>
      <c r="K86" s="44"/>
      <c r="L86" s="45"/>
      <c r="M86" s="46"/>
      <c r="N86" s="46"/>
      <c r="O86" s="46"/>
    </row>
    <row r="87" spans="1:15" ht="15.75" customHeight="1">
      <c r="A87" s="9" t="s">
        <v>70</v>
      </c>
      <c r="C87" s="38"/>
      <c r="D87" s="57"/>
      <c r="E87" s="38"/>
      <c r="F87" s="1"/>
      <c r="G87" s="1"/>
      <c r="H87" s="1"/>
      <c r="I87" s="1"/>
      <c r="J87" s="1"/>
      <c r="K87" s="44"/>
      <c r="L87" s="45"/>
      <c r="M87" s="46"/>
      <c r="N87" s="46"/>
      <c r="O87" s="46"/>
    </row>
    <row r="88" spans="1:15" ht="14.25" customHeight="1">
      <c r="B88" s="55"/>
      <c r="C88" s="38"/>
      <c r="D88" s="57"/>
      <c r="E88" s="38"/>
      <c r="F88" s="1"/>
      <c r="G88" s="1"/>
      <c r="H88" s="1"/>
      <c r="I88" s="1"/>
      <c r="J88" s="1"/>
      <c r="K88" s="44"/>
      <c r="L88" s="45"/>
      <c r="M88" s="46"/>
      <c r="N88" s="46"/>
      <c r="O88" s="46"/>
    </row>
    <row r="89" spans="1:15" ht="39.75" customHeight="1">
      <c r="A89" s="40">
        <f>A85+1</f>
        <v>34</v>
      </c>
      <c r="B89" s="48" t="s">
        <v>155</v>
      </c>
      <c r="C89" s="1"/>
      <c r="D89" s="42" t="s">
        <v>4</v>
      </c>
      <c r="E89" s="1"/>
      <c r="F89" s="1" t="e">
        <f>#REF!*#REF!</f>
        <v>#REF!</v>
      </c>
      <c r="G89" s="1" t="e">
        <f>IF(#REF!&gt;=0,10*#REF!,0)</f>
        <v>#REF!</v>
      </c>
      <c r="H89" s="1"/>
      <c r="I89" s="43"/>
      <c r="J89" s="1"/>
      <c r="K89" s="44">
        <v>5</v>
      </c>
      <c r="L89" s="45">
        <f>K89/K117</f>
        <v>1</v>
      </c>
      <c r="M89" s="46">
        <f>VLOOKUP(D89,Q1:R9,2,FALSE)</f>
        <v>0</v>
      </c>
      <c r="N89" s="46">
        <f>M89*L89</f>
        <v>0</v>
      </c>
      <c r="O89" s="46">
        <f>IF(M89=0,0,L89*MAX(R2:R8))</f>
        <v>0</v>
      </c>
    </row>
    <row r="90" spans="1:15" ht="12" customHeight="1">
      <c r="A90" s="40"/>
      <c r="B90" s="48"/>
      <c r="C90" s="1"/>
      <c r="D90" s="47"/>
      <c r="E90" s="1"/>
      <c r="F90" s="1"/>
      <c r="G90" s="1"/>
      <c r="H90" s="1"/>
      <c r="I90" s="1"/>
      <c r="J90" s="1"/>
      <c r="K90" s="44"/>
      <c r="L90" s="45"/>
      <c r="M90" s="46"/>
      <c r="N90" s="46"/>
      <c r="O90" s="46"/>
    </row>
    <row r="91" spans="1:15" ht="39.75" customHeight="1">
      <c r="A91" s="40">
        <f>A89+1</f>
        <v>35</v>
      </c>
      <c r="B91" s="48" t="s">
        <v>157</v>
      </c>
      <c r="C91" s="1"/>
      <c r="D91" s="42" t="s">
        <v>4</v>
      </c>
      <c r="E91" s="1"/>
      <c r="F91" s="1" t="e">
        <f>#REF!*#REF!</f>
        <v>#REF!</v>
      </c>
      <c r="G91" s="1" t="e">
        <f>IF(#REF!&gt;=0,10*#REF!,0)</f>
        <v>#REF!</v>
      </c>
      <c r="H91" s="1"/>
      <c r="I91" s="43"/>
      <c r="J91" s="1"/>
      <c r="K91" s="44">
        <v>2</v>
      </c>
      <c r="L91" s="45">
        <f>K91/K117</f>
        <v>0.4</v>
      </c>
      <c r="M91" s="46">
        <f>VLOOKUP(D91,Q1:R9,2,FALSE)</f>
        <v>0</v>
      </c>
      <c r="N91" s="46">
        <f>M91*L91</f>
        <v>0</v>
      </c>
      <c r="O91" s="46">
        <f>IF(M91=0,0,L91*MAX(R2:R8))</f>
        <v>0</v>
      </c>
    </row>
    <row r="92" spans="1:15" ht="12" customHeight="1">
      <c r="A92" s="40"/>
      <c r="B92" s="48"/>
      <c r="C92" s="1"/>
      <c r="D92" s="47"/>
      <c r="E92" s="1"/>
      <c r="F92" s="1"/>
      <c r="G92" s="1"/>
      <c r="H92" s="1"/>
      <c r="I92" s="1"/>
      <c r="J92" s="1"/>
      <c r="K92" s="44"/>
      <c r="L92" s="45"/>
      <c r="M92" s="46"/>
      <c r="N92" s="46"/>
      <c r="O92" s="46"/>
    </row>
    <row r="93" spans="1:15" ht="39.75" customHeight="1">
      <c r="A93" s="40">
        <f>A91+1</f>
        <v>36</v>
      </c>
      <c r="B93" s="48" t="s">
        <v>159</v>
      </c>
      <c r="C93" s="1"/>
      <c r="D93" s="42" t="s">
        <v>4</v>
      </c>
      <c r="E93" s="1"/>
      <c r="F93" s="1" t="e">
        <f>#REF!*#REF!</f>
        <v>#REF!</v>
      </c>
      <c r="G93" s="1" t="e">
        <f>IF(#REF!&gt;=0,10*#REF!,0)</f>
        <v>#REF!</v>
      </c>
      <c r="H93" s="1"/>
      <c r="I93" s="43"/>
      <c r="J93" s="1"/>
      <c r="K93" s="44">
        <v>4</v>
      </c>
      <c r="L93" s="45">
        <f>K93/K117</f>
        <v>0.8</v>
      </c>
      <c r="M93" s="46">
        <f>VLOOKUP(D93,Q1:R9,2,FALSE)</f>
        <v>0</v>
      </c>
      <c r="N93" s="46">
        <f>M93*L93</f>
        <v>0</v>
      </c>
      <c r="O93" s="46">
        <f>IF(M93=0,0,L93*MAX(R2:R8))</f>
        <v>0</v>
      </c>
    </row>
    <row r="94" spans="1:15" ht="12" customHeight="1">
      <c r="A94" s="40"/>
      <c r="B94" s="48"/>
      <c r="C94" s="1"/>
      <c r="D94" s="47"/>
      <c r="E94" s="1"/>
      <c r="F94" s="1"/>
      <c r="G94" s="1"/>
      <c r="H94" s="1"/>
      <c r="I94" s="1"/>
      <c r="J94" s="1"/>
      <c r="K94" s="44"/>
      <c r="L94" s="45"/>
      <c r="M94" s="46"/>
      <c r="N94" s="46"/>
      <c r="O94" s="46"/>
    </row>
    <row r="95" spans="1:15" ht="39.75" customHeight="1">
      <c r="A95" s="40">
        <f>A93+1</f>
        <v>37</v>
      </c>
      <c r="B95" s="48" t="s">
        <v>161</v>
      </c>
      <c r="C95" s="1"/>
      <c r="D95" s="42" t="s">
        <v>4</v>
      </c>
      <c r="E95" s="1"/>
      <c r="F95" s="1" t="e">
        <f>#REF!*#REF!</f>
        <v>#REF!</v>
      </c>
      <c r="G95" s="1" t="e">
        <f>IF(#REF!&gt;=0,10*#REF!,0)</f>
        <v>#REF!</v>
      </c>
      <c r="H95" s="1"/>
      <c r="I95" s="43"/>
      <c r="J95" s="1"/>
      <c r="K95" s="44">
        <v>3</v>
      </c>
      <c r="L95" s="45">
        <f>K95/K117</f>
        <v>0.6</v>
      </c>
      <c r="M95" s="46">
        <f>VLOOKUP(D95,Q1:R9,2,FALSE)</f>
        <v>0</v>
      </c>
      <c r="N95" s="46">
        <f>M95*L95</f>
        <v>0</v>
      </c>
      <c r="O95" s="46">
        <f>IF(M95=0,0,L95*MAX(R2:R8))</f>
        <v>0</v>
      </c>
    </row>
    <row r="96" spans="1:15" ht="12" customHeight="1">
      <c r="A96" s="40"/>
      <c r="B96" s="48"/>
      <c r="C96" s="1"/>
      <c r="D96" s="47"/>
      <c r="E96" s="1"/>
      <c r="F96" s="1"/>
      <c r="G96" s="1"/>
      <c r="H96" s="1"/>
      <c r="I96" s="1"/>
      <c r="J96" s="1"/>
      <c r="K96" s="44"/>
      <c r="L96" s="45"/>
      <c r="M96" s="46"/>
      <c r="N96" s="46"/>
      <c r="O96" s="46"/>
    </row>
    <row r="97" spans="1:26" ht="39.75" customHeight="1">
      <c r="A97" s="40">
        <f>A95+1</f>
        <v>38</v>
      </c>
      <c r="B97" s="48" t="s">
        <v>163</v>
      </c>
      <c r="C97" s="1"/>
      <c r="D97" s="42" t="s">
        <v>4</v>
      </c>
      <c r="E97" s="1"/>
      <c r="F97" s="1" t="e">
        <f>#REF!*#REF!</f>
        <v>#REF!</v>
      </c>
      <c r="G97" s="1" t="e">
        <f>IF(#REF!&gt;=0,10*#REF!,0)</f>
        <v>#REF!</v>
      </c>
      <c r="H97" s="1"/>
      <c r="I97" s="43"/>
      <c r="J97" s="1"/>
      <c r="K97" s="44">
        <v>3</v>
      </c>
      <c r="L97" s="45">
        <f>K97/K117</f>
        <v>0.6</v>
      </c>
      <c r="M97" s="46">
        <f>VLOOKUP(D97,Q1:R9,2,FALSE)</f>
        <v>0</v>
      </c>
      <c r="N97" s="46">
        <f>M97*L97</f>
        <v>0</v>
      </c>
      <c r="O97" s="46">
        <f>IF(M97=0,0,L97*MAX(R2:R8))</f>
        <v>0</v>
      </c>
    </row>
    <row r="98" spans="1:26" ht="12" customHeight="1">
      <c r="B98" s="32"/>
      <c r="C98" s="1"/>
      <c r="D98" s="47"/>
      <c r="E98" s="1"/>
      <c r="F98" s="1"/>
      <c r="G98" s="1"/>
      <c r="H98" s="1"/>
      <c r="I98" s="1"/>
      <c r="J98" s="1"/>
      <c r="K98" s="44"/>
      <c r="L98" s="45"/>
      <c r="M98" s="46"/>
      <c r="N98" s="46"/>
      <c r="O98" s="46"/>
    </row>
    <row r="99" spans="1:26" ht="15.75" customHeight="1">
      <c r="A99" s="9" t="s">
        <v>76</v>
      </c>
      <c r="C99" s="38"/>
      <c r="D99" s="57"/>
      <c r="E99" s="38"/>
      <c r="F99" s="1"/>
      <c r="G99" s="1"/>
      <c r="H99" s="1"/>
      <c r="I99" s="1"/>
      <c r="J99" s="1"/>
      <c r="K99" s="44"/>
      <c r="L99" s="45"/>
      <c r="M99" s="46"/>
      <c r="N99" s="46"/>
      <c r="O99" s="46"/>
    </row>
    <row r="100" spans="1:26" ht="14.25" customHeight="1">
      <c r="B100" s="55"/>
      <c r="C100" s="38"/>
      <c r="D100" s="57"/>
      <c r="E100" s="38"/>
      <c r="F100" s="1"/>
      <c r="G100" s="1"/>
      <c r="H100" s="1"/>
      <c r="I100" s="1"/>
      <c r="J100" s="1"/>
      <c r="K100" s="44"/>
      <c r="L100" s="45"/>
      <c r="M100" s="46"/>
      <c r="N100" s="46"/>
      <c r="O100" s="46"/>
    </row>
    <row r="101" spans="1:26" ht="39.75" customHeight="1">
      <c r="A101" s="40">
        <f>A97+1</f>
        <v>39</v>
      </c>
      <c r="B101" s="48" t="s">
        <v>165</v>
      </c>
      <c r="C101" s="1"/>
      <c r="D101" s="42" t="s">
        <v>4</v>
      </c>
      <c r="E101" s="1"/>
      <c r="F101" s="1" t="e">
        <f>#REF!*#REF!</f>
        <v>#REF!</v>
      </c>
      <c r="G101" s="1" t="e">
        <f>IF(#REF!&gt;=0,10*#REF!,0)</f>
        <v>#REF!</v>
      </c>
      <c r="H101" s="1"/>
      <c r="I101" s="43"/>
      <c r="J101" s="1"/>
      <c r="K101" s="44">
        <v>4</v>
      </c>
      <c r="L101" s="45">
        <f>K101/K117</f>
        <v>0.8</v>
      </c>
      <c r="M101" s="46">
        <f>VLOOKUP(D101,Q1:R9,2,FALSE)</f>
        <v>0</v>
      </c>
      <c r="N101" s="46">
        <f>M101*L101</f>
        <v>0</v>
      </c>
      <c r="O101" s="46">
        <f>IF(M101=0,0,L101*MAX(R2:R8))</f>
        <v>0</v>
      </c>
    </row>
    <row r="102" spans="1:26" ht="12" customHeight="1">
      <c r="A102" s="40"/>
      <c r="B102" s="48"/>
      <c r="C102" s="1"/>
      <c r="D102" s="47"/>
      <c r="E102" s="1"/>
      <c r="F102" s="1"/>
      <c r="G102" s="1"/>
      <c r="H102" s="1"/>
      <c r="I102" s="1"/>
      <c r="J102" s="1"/>
      <c r="K102" s="44"/>
      <c r="L102" s="45"/>
      <c r="M102" s="46"/>
      <c r="N102" s="46"/>
      <c r="O102" s="46"/>
    </row>
    <row r="103" spans="1:26" ht="39.75" customHeight="1">
      <c r="A103" s="40">
        <f>A101+1</f>
        <v>40</v>
      </c>
      <c r="B103" s="48" t="s">
        <v>166</v>
      </c>
      <c r="C103" s="1"/>
      <c r="D103" s="42" t="s">
        <v>4</v>
      </c>
      <c r="E103" s="1"/>
      <c r="F103" s="1" t="e">
        <f>#REF!*#REF!</f>
        <v>#REF!</v>
      </c>
      <c r="G103" s="1" t="e">
        <f>IF(#REF!&gt;=0,10*#REF!,0)</f>
        <v>#REF!</v>
      </c>
      <c r="H103" s="1"/>
      <c r="I103" s="43"/>
      <c r="J103" s="1"/>
      <c r="K103" s="44">
        <v>3</v>
      </c>
      <c r="L103" s="45">
        <f>K103/K117</f>
        <v>0.6</v>
      </c>
      <c r="M103" s="46">
        <f>VLOOKUP(D103,Q1:R9,2,FALSE)</f>
        <v>0</v>
      </c>
      <c r="N103" s="46">
        <f>M103*L103</f>
        <v>0</v>
      </c>
      <c r="O103" s="46">
        <f>IF(M103=0,0,L103*MAX(R2:R8))</f>
        <v>0</v>
      </c>
    </row>
    <row r="104" spans="1:26" ht="12" customHeight="1">
      <c r="A104" s="40"/>
      <c r="B104" s="48"/>
      <c r="C104" s="1"/>
      <c r="D104" s="47"/>
      <c r="E104" s="1"/>
      <c r="F104" s="1"/>
      <c r="G104" s="1"/>
      <c r="H104" s="1"/>
      <c r="I104" s="1"/>
      <c r="J104" s="1"/>
      <c r="K104" s="44"/>
      <c r="L104" s="45"/>
      <c r="M104" s="46"/>
      <c r="N104" s="46"/>
      <c r="O104" s="46"/>
    </row>
    <row r="105" spans="1:26" ht="39.75" customHeight="1">
      <c r="A105" s="40">
        <f>A103+1</f>
        <v>41</v>
      </c>
      <c r="B105" s="48" t="s">
        <v>167</v>
      </c>
      <c r="C105" s="1"/>
      <c r="D105" s="42" t="s">
        <v>4</v>
      </c>
      <c r="E105" s="1"/>
      <c r="F105" s="1" t="e">
        <f>#REF!*#REF!</f>
        <v>#REF!</v>
      </c>
      <c r="G105" s="1" t="e">
        <f>IF(#REF!&gt;=0,10*#REF!,0)</f>
        <v>#REF!</v>
      </c>
      <c r="H105" s="1"/>
      <c r="I105" s="43"/>
      <c r="J105" s="1"/>
      <c r="K105" s="44">
        <v>3</v>
      </c>
      <c r="L105" s="45">
        <f>K105/K117</f>
        <v>0.6</v>
      </c>
      <c r="M105" s="46">
        <f>VLOOKUP(D105,Q1:R9,2,FALSE)</f>
        <v>0</v>
      </c>
      <c r="N105" s="46">
        <f>M105*L105</f>
        <v>0</v>
      </c>
      <c r="O105" s="46">
        <f>IF(M105=0,0,L105*MAX(R2:R8))</f>
        <v>0</v>
      </c>
    </row>
    <row r="106" spans="1:26" ht="12" customHeight="1">
      <c r="A106" s="40"/>
      <c r="B106" s="48"/>
      <c r="C106" s="1"/>
      <c r="D106" s="47"/>
      <c r="E106" s="1"/>
      <c r="F106" s="1"/>
      <c r="G106" s="1"/>
      <c r="H106" s="1"/>
      <c r="I106" s="1"/>
      <c r="J106" s="1"/>
      <c r="K106" s="44"/>
      <c r="L106" s="45"/>
      <c r="M106" s="46"/>
      <c r="N106" s="46"/>
      <c r="O106" s="46"/>
    </row>
    <row r="107" spans="1:26" ht="39.75" customHeight="1">
      <c r="A107" s="40">
        <f>A105+1</f>
        <v>42</v>
      </c>
      <c r="B107" s="48" t="s">
        <v>169</v>
      </c>
      <c r="C107" s="1"/>
      <c r="D107" s="42" t="s">
        <v>4</v>
      </c>
      <c r="E107" s="1"/>
      <c r="F107" s="1" t="e">
        <f>#REF!*#REF!</f>
        <v>#REF!</v>
      </c>
      <c r="G107" s="1" t="e">
        <f>IF(#REF!&gt;=0,10*#REF!,0)</f>
        <v>#REF!</v>
      </c>
      <c r="H107" s="1"/>
      <c r="I107" s="43"/>
      <c r="J107" s="1"/>
      <c r="K107" s="44">
        <v>2</v>
      </c>
      <c r="L107" s="45">
        <f>K107/K117</f>
        <v>0.4</v>
      </c>
      <c r="M107" s="46">
        <f>VLOOKUP(D107,Q1:R9,2,FALSE)</f>
        <v>0</v>
      </c>
      <c r="N107" s="46">
        <f>M107*L107</f>
        <v>0</v>
      </c>
      <c r="O107" s="46">
        <f>IF(M107=0,0,L107*MAX(R2:R8))</f>
        <v>0</v>
      </c>
    </row>
    <row r="108" spans="1:26" ht="12" customHeight="1">
      <c r="B108" s="32"/>
      <c r="C108" s="1"/>
      <c r="D108" s="47"/>
      <c r="E108" s="1"/>
      <c r="F108" s="1"/>
      <c r="G108" s="1"/>
      <c r="H108" s="1"/>
      <c r="I108" s="1"/>
      <c r="J108" s="1"/>
      <c r="K108" s="44"/>
      <c r="L108" s="45"/>
      <c r="M108" s="46"/>
      <c r="N108" s="46"/>
      <c r="O108" s="46"/>
    </row>
    <row r="109" spans="1:26" ht="15.75" customHeight="1">
      <c r="A109" s="9" t="s">
        <v>83</v>
      </c>
      <c r="C109" s="38"/>
      <c r="D109" s="57"/>
      <c r="E109" s="38"/>
      <c r="F109" s="1"/>
      <c r="G109" s="1"/>
      <c r="H109" s="1"/>
      <c r="I109" s="1"/>
      <c r="J109" s="1"/>
      <c r="K109" s="44"/>
      <c r="L109" s="45"/>
      <c r="M109" s="46"/>
      <c r="N109" s="46"/>
      <c r="O109" s="46"/>
    </row>
    <row r="110" spans="1:26" ht="14.25" customHeight="1">
      <c r="B110" s="55"/>
      <c r="C110" s="38"/>
      <c r="D110" s="57"/>
      <c r="E110" s="38"/>
      <c r="F110" s="1"/>
      <c r="G110" s="1"/>
      <c r="H110" s="1"/>
      <c r="I110" s="1"/>
      <c r="J110" s="1"/>
      <c r="K110" s="44"/>
      <c r="L110" s="45"/>
      <c r="M110" s="46"/>
      <c r="N110" s="46"/>
      <c r="O110" s="46"/>
    </row>
    <row r="111" spans="1:26" ht="39.75" customHeight="1">
      <c r="A111" s="40">
        <f>A107+1</f>
        <v>43</v>
      </c>
      <c r="B111" s="48" t="s">
        <v>171</v>
      </c>
      <c r="C111" s="13"/>
      <c r="D111" s="42" t="s">
        <v>4</v>
      </c>
      <c r="E111" s="13"/>
      <c r="F111" s="13" t="e">
        <f>#REF!*#REF!</f>
        <v>#REF!</v>
      </c>
      <c r="G111" s="13" t="e">
        <f>IF(#REF!&gt;=0,10*#REF!,0)</f>
        <v>#REF!</v>
      </c>
      <c r="H111" s="13"/>
      <c r="I111" s="43"/>
      <c r="J111" s="13"/>
      <c r="K111" s="34">
        <v>4</v>
      </c>
      <c r="L111" s="64">
        <f>K111/K117</f>
        <v>0.8</v>
      </c>
      <c r="M111" s="65">
        <f>VLOOKUP(D111,Q1:R9,2,FALSE)</f>
        <v>0</v>
      </c>
      <c r="N111" s="65">
        <f>M111*L111</f>
        <v>0</v>
      </c>
      <c r="O111" s="65">
        <f>IF(M111=0,0,L111*MAX(R2:R8))</f>
        <v>0</v>
      </c>
      <c r="P111" s="13"/>
      <c r="Q111" s="13"/>
      <c r="R111" s="13"/>
      <c r="S111" s="13"/>
      <c r="T111" s="13"/>
      <c r="U111" s="13"/>
      <c r="V111" s="13"/>
      <c r="W111" s="13"/>
      <c r="X111" s="13"/>
      <c r="Y111" s="13"/>
      <c r="Z111" s="13"/>
    </row>
    <row r="112" spans="1:26" ht="12" customHeight="1">
      <c r="A112" s="40"/>
      <c r="B112" s="48"/>
      <c r="C112" s="13"/>
      <c r="D112" s="66"/>
      <c r="E112" s="13"/>
      <c r="F112" s="13"/>
      <c r="G112" s="13"/>
      <c r="H112" s="13"/>
      <c r="I112" s="13"/>
      <c r="J112" s="13"/>
      <c r="K112" s="34"/>
      <c r="L112" s="64"/>
      <c r="M112" s="65"/>
      <c r="N112" s="65"/>
      <c r="O112" s="65"/>
      <c r="P112" s="13"/>
      <c r="Q112" s="13"/>
      <c r="R112" s="13"/>
      <c r="S112" s="13"/>
      <c r="T112" s="13"/>
      <c r="U112" s="13"/>
      <c r="V112" s="13"/>
      <c r="W112" s="13"/>
      <c r="X112" s="13"/>
      <c r="Y112" s="13"/>
      <c r="Z112" s="13"/>
    </row>
    <row r="113" spans="1:26" ht="39.75" customHeight="1">
      <c r="A113" s="40">
        <f>A111+1</f>
        <v>44</v>
      </c>
      <c r="B113" s="48" t="s">
        <v>173</v>
      </c>
      <c r="C113" s="13"/>
      <c r="D113" s="42" t="s">
        <v>4</v>
      </c>
      <c r="E113" s="13"/>
      <c r="F113" s="13" t="e">
        <f>#REF!*#REF!</f>
        <v>#REF!</v>
      </c>
      <c r="G113" s="13" t="e">
        <f>IF(#REF!&gt;=0,10*#REF!,0)</f>
        <v>#REF!</v>
      </c>
      <c r="H113" s="13"/>
      <c r="I113" s="43"/>
      <c r="J113" s="13"/>
      <c r="K113" s="34">
        <v>4</v>
      </c>
      <c r="L113" s="64">
        <f>K113/K117</f>
        <v>0.8</v>
      </c>
      <c r="M113" s="65">
        <f>VLOOKUP(D113,Q1:R9,2,FALSE)</f>
        <v>0</v>
      </c>
      <c r="N113" s="65">
        <f>M113*L113</f>
        <v>0</v>
      </c>
      <c r="O113" s="65">
        <f>IF(M113=0,0,L113*MAX(R2:R8))</f>
        <v>0</v>
      </c>
      <c r="P113" s="13"/>
      <c r="Q113" s="13"/>
      <c r="R113" s="13"/>
      <c r="S113" s="13"/>
      <c r="T113" s="13"/>
      <c r="U113" s="13"/>
      <c r="V113" s="13"/>
      <c r="W113" s="13"/>
      <c r="X113" s="13"/>
      <c r="Y113" s="13"/>
      <c r="Z113" s="13"/>
    </row>
    <row r="114" spans="1:26" ht="12" customHeight="1">
      <c r="A114" s="40"/>
      <c r="B114" s="48"/>
      <c r="C114" s="13"/>
      <c r="D114" s="66"/>
      <c r="E114" s="13"/>
      <c r="F114" s="13"/>
      <c r="G114" s="13"/>
      <c r="H114" s="13"/>
      <c r="I114" s="13"/>
      <c r="J114" s="13"/>
      <c r="K114" s="34"/>
      <c r="L114" s="64"/>
      <c r="M114" s="65"/>
      <c r="N114" s="65"/>
      <c r="O114" s="65"/>
      <c r="P114" s="13"/>
      <c r="Q114" s="13"/>
      <c r="R114" s="13"/>
      <c r="S114" s="13"/>
      <c r="T114" s="13"/>
      <c r="U114" s="13"/>
      <c r="V114" s="13"/>
      <c r="W114" s="13"/>
      <c r="X114" s="13"/>
      <c r="Y114" s="13"/>
      <c r="Z114" s="13"/>
    </row>
    <row r="115" spans="1:26" ht="39.75" customHeight="1">
      <c r="A115" s="40">
        <f>A113+1</f>
        <v>45</v>
      </c>
      <c r="B115" s="48" t="s">
        <v>176</v>
      </c>
      <c r="C115" s="13"/>
      <c r="D115" s="42" t="s">
        <v>4</v>
      </c>
      <c r="E115" s="13"/>
      <c r="F115" s="13" t="e">
        <f>#REF!*#REF!</f>
        <v>#REF!</v>
      </c>
      <c r="G115" s="13" t="e">
        <f>IF(#REF!&gt;=0,10*#REF!,0)</f>
        <v>#REF!</v>
      </c>
      <c r="H115" s="13"/>
      <c r="I115" s="43"/>
      <c r="J115" s="13"/>
      <c r="K115" s="34">
        <v>3</v>
      </c>
      <c r="L115" s="64">
        <f>K115/K117</f>
        <v>0.6</v>
      </c>
      <c r="M115" s="65">
        <f>VLOOKUP(D115,Q1:R9,2,FALSE)</f>
        <v>0</v>
      </c>
      <c r="N115" s="65">
        <f>M115*L115</f>
        <v>0</v>
      </c>
      <c r="O115" s="65">
        <f>IF(M115=0,0,L115*MAX(R2:R8))</f>
        <v>0</v>
      </c>
      <c r="P115" s="13"/>
      <c r="Q115" s="13"/>
      <c r="R115" s="13"/>
      <c r="S115" s="13"/>
      <c r="T115" s="13"/>
      <c r="U115" s="13"/>
      <c r="V115" s="13"/>
      <c r="W115" s="13"/>
      <c r="X115" s="13"/>
      <c r="Y115" s="13"/>
      <c r="Z115" s="13"/>
    </row>
    <row r="116" spans="1:26" ht="12" customHeight="1">
      <c r="B116" s="2"/>
      <c r="C116" s="1"/>
      <c r="D116" s="47"/>
      <c r="E116" s="1"/>
      <c r="F116" s="1"/>
      <c r="G116" s="1"/>
      <c r="H116" s="1"/>
      <c r="I116" s="1"/>
      <c r="J116" s="1"/>
      <c r="K116" s="67"/>
      <c r="L116" s="67"/>
      <c r="M116" s="67"/>
      <c r="N116" s="68"/>
      <c r="O116" s="68"/>
    </row>
    <row r="117" spans="1:26" ht="24" customHeight="1">
      <c r="A117" s="69" t="s">
        <v>177</v>
      </c>
      <c r="B117" s="71"/>
      <c r="C117" s="72"/>
      <c r="D117" s="73" t="str">
        <f>IF(ISERR((N117/O117)*100),"",(N117/O117)*100)</f>
        <v/>
      </c>
      <c r="E117" s="74"/>
      <c r="F117" s="74"/>
      <c r="G117" s="74"/>
      <c r="H117" s="75" t="str">
        <f>IF(D117="","","-")</f>
        <v/>
      </c>
      <c r="I117" s="76" t="str">
        <f>VLOOKUP(J117,'Rating ranges'!A2:B7,2,TRUE)</f>
        <v/>
      </c>
      <c r="J117" s="7">
        <f>IF(D117="",0,D117)</f>
        <v>0</v>
      </c>
      <c r="K117" s="67">
        <f>MAX(K9:K115)</f>
        <v>5</v>
      </c>
      <c r="L117" s="67"/>
      <c r="M117" s="67"/>
      <c r="N117" s="68">
        <f>SUM(N9:N115)</f>
        <v>0</v>
      </c>
      <c r="O117" s="68">
        <f>SUM(O9:O115)</f>
        <v>0</v>
      </c>
    </row>
    <row r="118" spans="1:26" ht="13.5" customHeight="1">
      <c r="D118" s="37"/>
      <c r="E118" s="1"/>
      <c r="F118" s="1"/>
      <c r="G118" s="1"/>
      <c r="H118" s="1"/>
      <c r="I118" s="1"/>
      <c r="J118" s="1"/>
      <c r="K118" s="16"/>
      <c r="L118" s="16"/>
      <c r="M118" s="1"/>
    </row>
    <row r="119" spans="1:26" ht="12.75" customHeight="1">
      <c r="A119" s="91"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2"/>
      <c r="C119" s="92"/>
      <c r="D119" s="92"/>
      <c r="E119" s="92"/>
      <c r="F119" s="92"/>
      <c r="G119" s="92"/>
      <c r="H119" s="92"/>
      <c r="I119" s="93"/>
      <c r="J119" s="1"/>
      <c r="K119" s="16"/>
      <c r="L119" s="16"/>
      <c r="M119" s="1"/>
    </row>
    <row r="120" spans="1:26" ht="15" customHeight="1">
      <c r="A120" s="94"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90"/>
      <c r="C120" s="90"/>
      <c r="D120" s="90"/>
      <c r="E120" s="90"/>
      <c r="F120" s="90"/>
      <c r="G120" s="90"/>
      <c r="H120" s="90"/>
      <c r="I120" s="95"/>
      <c r="J120" s="1"/>
      <c r="K120" s="16"/>
      <c r="L120" s="16"/>
      <c r="M120" s="1"/>
    </row>
    <row r="121" spans="1:26" ht="12.75" customHeight="1">
      <c r="A121" s="96"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90"/>
      <c r="C121" s="90"/>
      <c r="D121" s="90"/>
      <c r="E121" s="90"/>
      <c r="F121" s="90"/>
      <c r="G121" s="90"/>
      <c r="H121" s="90"/>
      <c r="I121" s="95"/>
      <c r="J121" s="1"/>
      <c r="K121" s="16"/>
      <c r="L121" s="16"/>
      <c r="M121" s="1"/>
    </row>
    <row r="122" spans="1:26" ht="12.75" customHeight="1">
      <c r="A122" s="94"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90"/>
      <c r="C122" s="90"/>
      <c r="D122" s="90"/>
      <c r="E122" s="90"/>
      <c r="F122" s="90"/>
      <c r="G122" s="90"/>
      <c r="H122" s="90"/>
      <c r="I122" s="95"/>
      <c r="J122" s="1"/>
      <c r="K122" s="16"/>
      <c r="L122" s="16"/>
      <c r="M122" s="1"/>
    </row>
    <row r="123" spans="1:26" ht="12.75" customHeight="1">
      <c r="A123" s="98"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9"/>
      <c r="C123" s="99"/>
      <c r="D123" s="99"/>
      <c r="E123" s="99"/>
      <c r="F123" s="99"/>
      <c r="G123" s="99"/>
      <c r="H123" s="99"/>
      <c r="I123" s="100"/>
      <c r="J123" s="1"/>
      <c r="K123" s="16"/>
      <c r="L123" s="16"/>
      <c r="M123" s="1"/>
    </row>
    <row r="124" spans="1:26" ht="13.5" customHeight="1">
      <c r="D124" s="37"/>
      <c r="E124" s="1"/>
      <c r="F124" s="1"/>
      <c r="G124" s="1"/>
      <c r="H124" s="1"/>
      <c r="I124" s="1"/>
      <c r="J124" s="1"/>
      <c r="K124" s="16"/>
      <c r="L124" s="16"/>
      <c r="M124" s="1"/>
    </row>
    <row r="125" spans="1:26" ht="13.5" customHeight="1">
      <c r="D125" s="78"/>
      <c r="E125" s="1"/>
      <c r="F125" s="1"/>
      <c r="G125" s="1"/>
      <c r="H125" s="1"/>
      <c r="I125" s="1"/>
      <c r="J125" s="1"/>
      <c r="K125" s="16"/>
      <c r="L125" s="16"/>
      <c r="M125" s="1"/>
    </row>
    <row r="126" spans="1:26" ht="12.75" customHeight="1">
      <c r="A126" s="1"/>
      <c r="B126" s="79"/>
      <c r="C126" s="80"/>
      <c r="D126" s="80"/>
      <c r="E126" s="80"/>
      <c r="F126" s="80"/>
      <c r="G126" s="80"/>
      <c r="H126" s="80"/>
      <c r="I126" s="80"/>
      <c r="J126" s="82"/>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A119:I119"/>
    <mergeCell ref="A120:I120"/>
    <mergeCell ref="A121:I121"/>
    <mergeCell ref="A122:I122"/>
    <mergeCell ref="A123:I123"/>
    <mergeCell ref="N7:N8"/>
    <mergeCell ref="O7:O8"/>
    <mergeCell ref="A1:I1"/>
    <mergeCell ref="A3:B3"/>
    <mergeCell ref="K7:K8"/>
    <mergeCell ref="L7:L8"/>
    <mergeCell ref="M7:M8"/>
  </mergeCells>
  <conditionalFormatting sqref="D9 D11 D13 D15 D17 D21 D23:D25 D29 D31:D33 D35 D37 D39 D41 D43 D45 D49 D51 D53 D55 D59 D61 D63 D67 D69 D71 D73 D75 D79 D81 D83 D85 D89 D91 D93 D95 D97 D101 D103 D105 D107 D111 D113 D115">
    <cfRule type="cellIs" dxfId="1" priority="1" operator="equal">
      <formula>"Enter score"</formula>
    </cfRule>
  </conditionalFormatting>
  <dataValidations count="3">
    <dataValidation type="list" allowBlank="1" showInputMessage="1" showErrorMessage="1" prompt=" - " sqref="D18 D54 D74 D96" xr:uid="{00000000-0002-0000-01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1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100-000002000000}">
      <formula1>$Q$1:$Q$7</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4" workbookViewId="0">
      <selection sqref="A1:C1"/>
    </sheetView>
  </sheetViews>
  <sheetFormatPr baseColWidth="10" defaultColWidth="14.44140625" defaultRowHeight="15" customHeight="1"/>
  <cols>
    <col min="1" max="1" width="4.109375" customWidth="1"/>
    <col min="2" max="2" width="103.5546875" customWidth="1"/>
    <col min="3" max="3" width="13.5546875" customWidth="1"/>
    <col min="4" max="26" width="8" customWidth="1"/>
  </cols>
  <sheetData>
    <row r="1" spans="1:26" ht="23.25" customHeight="1">
      <c r="A1" s="86" t="s">
        <v>0</v>
      </c>
      <c r="B1" s="87"/>
      <c r="C1" s="88"/>
    </row>
    <row r="2" spans="1:26" ht="15.75" customHeight="1">
      <c r="B2" s="2"/>
      <c r="C2" s="9" t="s">
        <v>3</v>
      </c>
    </row>
    <row r="3" spans="1:26" ht="24.75" customHeight="1">
      <c r="A3" s="11" t="s">
        <v>5</v>
      </c>
      <c r="B3" s="13"/>
      <c r="C3" s="13"/>
      <c r="D3" s="13"/>
      <c r="E3" s="13"/>
      <c r="F3" s="13"/>
      <c r="G3" s="13"/>
      <c r="H3" s="13"/>
      <c r="I3" s="13"/>
      <c r="J3" s="13"/>
      <c r="K3" s="13"/>
      <c r="L3" s="13"/>
      <c r="M3" s="13"/>
      <c r="N3" s="13"/>
      <c r="O3" s="13"/>
      <c r="P3" s="13"/>
      <c r="Q3" s="13"/>
      <c r="R3" s="13"/>
      <c r="S3" s="13"/>
      <c r="T3" s="13"/>
      <c r="U3" s="13"/>
      <c r="V3" s="13"/>
      <c r="W3" s="13"/>
      <c r="X3" s="13"/>
      <c r="Y3" s="13"/>
      <c r="Z3" s="13"/>
    </row>
    <row r="4" spans="1:26" ht="51" customHeight="1">
      <c r="A4" s="17">
        <v>1</v>
      </c>
      <c r="B4" s="20" t="s">
        <v>7</v>
      </c>
      <c r="C4" s="22" t="s">
        <v>8</v>
      </c>
    </row>
    <row r="5" spans="1:26" ht="38.25" customHeight="1">
      <c r="A5" s="17">
        <f>A4+1</f>
        <v>2</v>
      </c>
      <c r="B5" s="20" t="s">
        <v>13</v>
      </c>
      <c r="C5" s="22" t="s">
        <v>8</v>
      </c>
    </row>
    <row r="6" spans="1:26" ht="38.25" customHeight="1">
      <c r="A6" s="17">
        <f>A5+1</f>
        <v>3</v>
      </c>
      <c r="B6" s="20" t="s">
        <v>15</v>
      </c>
      <c r="C6" s="22" t="s">
        <v>16</v>
      </c>
    </row>
    <row r="7" spans="1:26" ht="38.25" customHeight="1">
      <c r="A7" s="17">
        <f>A6+1</f>
        <v>4</v>
      </c>
      <c r="B7" s="20" t="s">
        <v>17</v>
      </c>
      <c r="C7" s="22" t="s">
        <v>18</v>
      </c>
    </row>
    <row r="8" spans="1:26" ht="38.25" customHeight="1">
      <c r="A8" s="17">
        <f>A7+1</f>
        <v>5</v>
      </c>
      <c r="B8" s="20" t="s">
        <v>20</v>
      </c>
      <c r="C8" s="22" t="s">
        <v>18</v>
      </c>
    </row>
    <row r="9" spans="1:26" ht="12.75" customHeight="1">
      <c r="B9" s="32"/>
      <c r="C9" s="13"/>
    </row>
    <row r="10" spans="1:26" ht="24.75" customHeight="1">
      <c r="A10" s="11" t="s">
        <v>22</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38.25" customHeight="1">
      <c r="A11" s="17">
        <f>A8+1</f>
        <v>6</v>
      </c>
      <c r="B11" s="20" t="s">
        <v>26</v>
      </c>
      <c r="C11" s="22" t="s">
        <v>18</v>
      </c>
    </row>
    <row r="12" spans="1:26" ht="51" customHeight="1">
      <c r="A12" s="17">
        <f>A11+1</f>
        <v>7</v>
      </c>
      <c r="B12" s="20" t="s">
        <v>27</v>
      </c>
      <c r="C12" s="22" t="s">
        <v>16</v>
      </c>
    </row>
    <row r="13" spans="1:26" ht="38.25" customHeight="1">
      <c r="A13" s="17">
        <f>A12+1</f>
        <v>8</v>
      </c>
      <c r="B13" s="20" t="s">
        <v>28</v>
      </c>
      <c r="C13" s="22" t="s">
        <v>18</v>
      </c>
    </row>
    <row r="14" spans="1:26" ht="12.75" customHeight="1">
      <c r="B14" s="32"/>
      <c r="C14" s="13"/>
    </row>
    <row r="15" spans="1:26" ht="24.75" customHeight="1">
      <c r="A15" s="11" t="s">
        <v>29</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38.25" customHeight="1">
      <c r="A16" s="17">
        <f>A13+1</f>
        <v>9</v>
      </c>
      <c r="B16" s="20" t="s">
        <v>35</v>
      </c>
      <c r="C16" s="22" t="s">
        <v>36</v>
      </c>
    </row>
    <row r="17" spans="1:26" ht="51" customHeight="1">
      <c r="A17" s="17">
        <f t="shared" ref="A17:A24" si="0">A16+1</f>
        <v>10</v>
      </c>
      <c r="B17" s="20" t="s">
        <v>37</v>
      </c>
      <c r="C17" s="22" t="s">
        <v>16</v>
      </c>
    </row>
    <row r="18" spans="1:26" ht="38.25" customHeight="1">
      <c r="A18" s="17">
        <f t="shared" si="0"/>
        <v>11</v>
      </c>
      <c r="B18" s="20" t="s">
        <v>38</v>
      </c>
      <c r="C18" s="22" t="s">
        <v>18</v>
      </c>
    </row>
    <row r="19" spans="1:26" ht="51" customHeight="1">
      <c r="A19" s="17">
        <f t="shared" si="0"/>
        <v>12</v>
      </c>
      <c r="B19" s="20" t="s">
        <v>39</v>
      </c>
      <c r="C19" s="22" t="s">
        <v>8</v>
      </c>
    </row>
    <row r="20" spans="1:26" ht="51" customHeight="1">
      <c r="A20" s="17">
        <f t="shared" si="0"/>
        <v>13</v>
      </c>
      <c r="B20" s="20" t="s">
        <v>42</v>
      </c>
      <c r="C20" s="22" t="s">
        <v>18</v>
      </c>
    </row>
    <row r="21" spans="1:26" ht="38.25" customHeight="1">
      <c r="A21" s="17">
        <f t="shared" si="0"/>
        <v>14</v>
      </c>
      <c r="B21" s="20" t="s">
        <v>43</v>
      </c>
      <c r="C21" s="22" t="s">
        <v>16</v>
      </c>
    </row>
    <row r="22" spans="1:26" ht="25.5" customHeight="1">
      <c r="A22" s="17">
        <f t="shared" si="0"/>
        <v>15</v>
      </c>
      <c r="B22" s="20" t="s">
        <v>44</v>
      </c>
      <c r="C22" s="22" t="s">
        <v>36</v>
      </c>
    </row>
    <row r="23" spans="1:26" ht="25.5" customHeight="1">
      <c r="A23" s="17">
        <f t="shared" si="0"/>
        <v>16</v>
      </c>
      <c r="B23" s="20" t="s">
        <v>45</v>
      </c>
      <c r="C23" s="22" t="s">
        <v>36</v>
      </c>
    </row>
    <row r="24" spans="1:26" ht="25.5" customHeight="1">
      <c r="A24" s="17">
        <f t="shared" si="0"/>
        <v>17</v>
      </c>
      <c r="B24" s="20" t="s">
        <v>46</v>
      </c>
      <c r="C24" s="22" t="s">
        <v>47</v>
      </c>
    </row>
    <row r="25" spans="1:26" ht="12.75" customHeight="1">
      <c r="B25" s="32"/>
      <c r="C25" s="13"/>
    </row>
    <row r="26" spans="1:26" ht="24.75" customHeight="1">
      <c r="A26" s="11" t="s">
        <v>48</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38.25" customHeight="1">
      <c r="A27" s="17">
        <f>A24+1</f>
        <v>18</v>
      </c>
      <c r="B27" s="20" t="s">
        <v>49</v>
      </c>
      <c r="C27" s="22" t="s">
        <v>16</v>
      </c>
    </row>
    <row r="28" spans="1:26" ht="38.25" customHeight="1">
      <c r="A28" s="17">
        <f>A27+1</f>
        <v>19</v>
      </c>
      <c r="B28" s="20" t="s">
        <v>50</v>
      </c>
      <c r="C28" s="22" t="s">
        <v>16</v>
      </c>
    </row>
    <row r="29" spans="1:26" ht="51" customHeight="1">
      <c r="A29" s="17">
        <f>A28+1</f>
        <v>20</v>
      </c>
      <c r="B29" s="20" t="s">
        <v>51</v>
      </c>
      <c r="C29" s="22" t="s">
        <v>36</v>
      </c>
    </row>
    <row r="30" spans="1:26" ht="38.25" customHeight="1">
      <c r="A30" s="17">
        <f>A29+1</f>
        <v>21</v>
      </c>
      <c r="B30" s="20" t="s">
        <v>52</v>
      </c>
      <c r="C30" s="22" t="s">
        <v>16</v>
      </c>
    </row>
    <row r="31" spans="1:26" ht="12.75" customHeight="1">
      <c r="B31" s="32"/>
      <c r="C31" s="13"/>
    </row>
    <row r="32" spans="1:26" ht="24.75" customHeight="1">
      <c r="A32" s="11" t="s">
        <v>53</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38.25" customHeight="1">
      <c r="A33" s="17">
        <f>A30+1</f>
        <v>22</v>
      </c>
      <c r="B33" s="20" t="s">
        <v>54</v>
      </c>
      <c r="C33" s="22" t="s">
        <v>16</v>
      </c>
    </row>
    <row r="34" spans="1:26" ht="51" customHeight="1">
      <c r="A34" s="17">
        <f>A33+1</f>
        <v>23</v>
      </c>
      <c r="B34" s="20" t="s">
        <v>55</v>
      </c>
      <c r="C34" s="22" t="s">
        <v>18</v>
      </c>
    </row>
    <row r="35" spans="1:26" ht="38.25" customHeight="1">
      <c r="A35" s="17">
        <f>A34+1</f>
        <v>24</v>
      </c>
      <c r="B35" s="20" t="s">
        <v>56</v>
      </c>
      <c r="C35" s="22" t="s">
        <v>47</v>
      </c>
    </row>
    <row r="36" spans="1:26" ht="12.75" customHeight="1">
      <c r="B36" s="32"/>
      <c r="C36" s="13"/>
    </row>
    <row r="37" spans="1:26" ht="24.75" customHeight="1">
      <c r="A37" s="11" t="s">
        <v>57</v>
      </c>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38.25" customHeight="1">
      <c r="A38" s="17">
        <f>A35+1</f>
        <v>25</v>
      </c>
      <c r="B38" s="20" t="s">
        <v>58</v>
      </c>
      <c r="C38" s="22" t="s">
        <v>18</v>
      </c>
    </row>
    <row r="39" spans="1:26" ht="63.75" customHeight="1">
      <c r="A39" s="17">
        <f>A38+1</f>
        <v>26</v>
      </c>
      <c r="B39" s="20" t="s">
        <v>59</v>
      </c>
      <c r="C39" s="22" t="s">
        <v>36</v>
      </c>
    </row>
    <row r="40" spans="1:26" ht="38.25" customHeight="1">
      <c r="A40" s="17">
        <f>A39+1</f>
        <v>27</v>
      </c>
      <c r="B40" s="20" t="s">
        <v>60</v>
      </c>
      <c r="C40" s="22" t="s">
        <v>36</v>
      </c>
    </row>
    <row r="41" spans="1:26" ht="63.75" customHeight="1">
      <c r="A41" s="17">
        <f>A40+1</f>
        <v>28</v>
      </c>
      <c r="B41" s="20" t="s">
        <v>61</v>
      </c>
      <c r="C41" s="22" t="s">
        <v>18</v>
      </c>
    </row>
    <row r="42" spans="1:26" ht="38.25" customHeight="1">
      <c r="A42" s="17">
        <f>A41+1</f>
        <v>29</v>
      </c>
      <c r="B42" s="20" t="s">
        <v>62</v>
      </c>
      <c r="C42" s="22" t="s">
        <v>18</v>
      </c>
    </row>
    <row r="43" spans="1:26" ht="12.75" customHeight="1">
      <c r="B43" s="32"/>
      <c r="C43" s="13"/>
    </row>
    <row r="44" spans="1:26" ht="24.75" customHeight="1">
      <c r="A44" s="11" t="s">
        <v>63</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38.25" customHeight="1">
      <c r="A45" s="17">
        <f>A42+1</f>
        <v>30</v>
      </c>
      <c r="B45" s="20" t="s">
        <v>64</v>
      </c>
      <c r="C45" s="22" t="s">
        <v>16</v>
      </c>
    </row>
    <row r="46" spans="1:26" ht="38.25" customHeight="1">
      <c r="A46" s="17">
        <f>A45+1</f>
        <v>31</v>
      </c>
      <c r="B46" s="20" t="s">
        <v>66</v>
      </c>
      <c r="C46" s="22" t="s">
        <v>18</v>
      </c>
    </row>
    <row r="47" spans="1:26" ht="51" customHeight="1">
      <c r="A47" s="17">
        <f>A46+1</f>
        <v>32</v>
      </c>
      <c r="B47" s="20" t="s">
        <v>68</v>
      </c>
      <c r="C47" s="22" t="s">
        <v>18</v>
      </c>
    </row>
    <row r="48" spans="1:26" ht="25.5" customHeight="1">
      <c r="A48" s="17">
        <f>A47+1</f>
        <v>33</v>
      </c>
      <c r="B48" s="20" t="s">
        <v>69</v>
      </c>
      <c r="C48" s="22" t="s">
        <v>18</v>
      </c>
    </row>
    <row r="49" spans="1:26" ht="12.75" customHeight="1">
      <c r="B49" s="32"/>
      <c r="C49" s="13"/>
    </row>
    <row r="50" spans="1:26" ht="24.75" customHeight="1">
      <c r="A50" s="11" t="s">
        <v>70</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51" customHeight="1">
      <c r="A51" s="17">
        <f>A48+1</f>
        <v>34</v>
      </c>
      <c r="B51" s="20" t="s">
        <v>71</v>
      </c>
      <c r="C51" s="22" t="s">
        <v>8</v>
      </c>
    </row>
    <row r="52" spans="1:26" ht="38.25" customHeight="1">
      <c r="A52" s="17">
        <f>A51+1</f>
        <v>35</v>
      </c>
      <c r="B52" s="20" t="s">
        <v>72</v>
      </c>
      <c r="C52" s="22" t="s">
        <v>36</v>
      </c>
    </row>
    <row r="53" spans="1:26" ht="25.5" customHeight="1">
      <c r="A53" s="17">
        <f>A52+1</f>
        <v>36</v>
      </c>
      <c r="B53" s="20" t="s">
        <v>73</v>
      </c>
      <c r="C53" s="22" t="s">
        <v>16</v>
      </c>
    </row>
    <row r="54" spans="1:26" ht="38.25" customHeight="1">
      <c r="A54" s="17">
        <f>A53+1</f>
        <v>37</v>
      </c>
      <c r="B54" s="20" t="s">
        <v>74</v>
      </c>
      <c r="C54" s="22" t="s">
        <v>18</v>
      </c>
    </row>
    <row r="55" spans="1:26" ht="25.5" customHeight="1">
      <c r="A55" s="17">
        <f>A54+1</f>
        <v>38</v>
      </c>
      <c r="B55" s="20" t="s">
        <v>75</v>
      </c>
      <c r="C55" s="22" t="s">
        <v>18</v>
      </c>
    </row>
    <row r="56" spans="1:26" ht="12.75" customHeight="1">
      <c r="B56" s="32"/>
      <c r="C56" s="13"/>
    </row>
    <row r="57" spans="1:26" ht="24.75" customHeight="1">
      <c r="A57" s="11" t="s">
        <v>76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51" customHeight="1">
      <c r="A58" s="17">
        <f>A55+1</f>
        <v>39</v>
      </c>
      <c r="B58" s="20" t="s">
        <v>79</v>
      </c>
      <c r="C58" s="22" t="s">
        <v>16</v>
      </c>
    </row>
    <row r="59" spans="1:26" ht="38.25" customHeight="1">
      <c r="A59" s="17">
        <f>A58+1</f>
        <v>40</v>
      </c>
      <c r="B59" s="20" t="s">
        <v>80</v>
      </c>
      <c r="C59" s="22" t="s">
        <v>18</v>
      </c>
    </row>
    <row r="60" spans="1:26" ht="51" customHeight="1">
      <c r="A60" s="17">
        <f>A59+1</f>
        <v>41</v>
      </c>
      <c r="B60" s="20" t="s">
        <v>81</v>
      </c>
      <c r="C60" s="22" t="s">
        <v>18</v>
      </c>
    </row>
    <row r="61" spans="1:26" ht="38.25" customHeight="1">
      <c r="A61" s="17">
        <f>A60+1</f>
        <v>42</v>
      </c>
      <c r="B61" s="20" t="s">
        <v>82</v>
      </c>
      <c r="C61" s="22" t="s">
        <v>36</v>
      </c>
    </row>
    <row r="62" spans="1:26" ht="12.75" customHeight="1">
      <c r="B62" s="32"/>
      <c r="C62" s="13"/>
    </row>
    <row r="63" spans="1:26" ht="24.75" customHeight="1">
      <c r="A63" s="11" t="s">
        <v>83</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51" customHeight="1">
      <c r="A64" s="17">
        <f>A61+1</f>
        <v>43</v>
      </c>
      <c r="B64" s="20" t="s">
        <v>86</v>
      </c>
      <c r="C64" s="22" t="s">
        <v>16</v>
      </c>
    </row>
    <row r="65" spans="1:3" ht="25.5" customHeight="1">
      <c r="A65" s="17">
        <f>A64+1</f>
        <v>44</v>
      </c>
      <c r="B65" s="20" t="s">
        <v>87</v>
      </c>
      <c r="C65" s="22" t="s">
        <v>18</v>
      </c>
    </row>
    <row r="66" spans="1:3" ht="51" customHeight="1">
      <c r="A66" s="17">
        <f>A65+1</f>
        <v>45</v>
      </c>
      <c r="B66" s="20" t="s">
        <v>88</v>
      </c>
      <c r="C66" s="22" t="s">
        <v>18</v>
      </c>
    </row>
    <row r="67" spans="1:3" ht="12.75" customHeight="1">
      <c r="A67" s="1"/>
      <c r="B67" s="2"/>
    </row>
    <row r="68" spans="1:3" ht="12.75" customHeight="1">
      <c r="A68" s="1"/>
      <c r="B68" s="2"/>
    </row>
    <row r="69" spans="1:3" ht="12.75" customHeight="1">
      <c r="A69" s="1"/>
      <c r="B69" s="2"/>
    </row>
    <row r="70" spans="1:3" ht="12.75" customHeight="1">
      <c r="A70" s="1"/>
      <c r="B70" s="2"/>
    </row>
    <row r="71" spans="1:3" ht="12.75" customHeight="1">
      <c r="A71" s="1"/>
      <c r="B71" s="2"/>
    </row>
    <row r="72" spans="1:3" ht="12.75" customHeight="1">
      <c r="A72" s="1"/>
      <c r="B72" s="2"/>
    </row>
    <row r="73" spans="1:3" ht="12.75" customHeight="1">
      <c r="A73" s="1"/>
      <c r="B73" s="2"/>
    </row>
    <row r="74" spans="1:3" ht="12.75" customHeight="1">
      <c r="A74" s="1"/>
      <c r="B74" s="2"/>
    </row>
    <row r="75" spans="1:3" ht="12.75" customHeight="1">
      <c r="A75" s="1"/>
      <c r="B75" s="2"/>
    </row>
    <row r="76" spans="1:3" ht="12.75" customHeight="1">
      <c r="A76" s="1"/>
      <c r="B76" s="2"/>
    </row>
    <row r="77" spans="1:3" ht="12.75" customHeight="1">
      <c r="A77" s="1"/>
      <c r="B77" s="2"/>
    </row>
    <row r="78" spans="1:3" ht="12.75" customHeight="1">
      <c r="A78" s="1"/>
      <c r="B78" s="2"/>
    </row>
    <row r="79" spans="1:3" ht="12.75" customHeight="1">
      <c r="A79" s="1"/>
      <c r="B79" s="2"/>
    </row>
    <row r="80" spans="1:3" ht="12.75" customHeight="1">
      <c r="A80" s="1"/>
      <c r="B80" s="2"/>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row r="1000" spans="1:2" ht="12.75" customHeight="1">
      <c r="A1000" s="1"/>
      <c r="B1000" s="2"/>
    </row>
  </sheetData>
  <mergeCells count="1">
    <mergeCell ref="A1:C1"/>
  </mergeCells>
  <conditionalFormatting sqref="C4:C8 C11:C13 C16:C24 C27:C30 C33:C35 C38:C42 C45:C48 C51:C55 C58:C61 C64:C66">
    <cfRule type="cellIs" dxfId="0" priority="1" operator="equal">
      <formula>"Enter score"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baseColWidth="10" defaultColWidth="14.44140625" defaultRowHeight="15" customHeight="1"/>
  <cols>
    <col min="1" max="1" width="17.44140625" customWidth="1"/>
    <col min="2" max="2" width="16.5546875" customWidth="1"/>
    <col min="3" max="3" width="8.88671875" customWidth="1"/>
    <col min="4" max="4" width="5.5546875" customWidth="1"/>
    <col min="5" max="5" width="4.6640625" customWidth="1"/>
    <col min="6" max="6" width="5.6640625" customWidth="1"/>
    <col min="7" max="26" width="8" customWidth="1"/>
  </cols>
  <sheetData>
    <row r="1" spans="1:6" ht="12.75" customHeight="1">
      <c r="A1" s="59" t="s">
        <v>142</v>
      </c>
      <c r="B1" s="59" t="s">
        <v>144</v>
      </c>
      <c r="C1" s="102" t="s">
        <v>145</v>
      </c>
      <c r="D1" s="90"/>
      <c r="E1" s="90"/>
      <c r="F1" s="90"/>
    </row>
    <row r="2" spans="1:6" ht="12.75" customHeight="1">
      <c r="A2" s="60">
        <v>0</v>
      </c>
      <c r="B2" s="29" t="str">
        <f>""</f>
        <v/>
      </c>
    </row>
    <row r="3" spans="1:6" ht="12.75" customHeight="1">
      <c r="A3" s="60">
        <v>1</v>
      </c>
      <c r="B3" s="29" t="s">
        <v>146</v>
      </c>
      <c r="C3" s="61" t="s">
        <v>147</v>
      </c>
      <c r="D3" s="62">
        <f>A4</f>
        <v>29</v>
      </c>
    </row>
    <row r="4" spans="1:6" ht="12.75" customHeight="1">
      <c r="A4" s="60">
        <v>29</v>
      </c>
      <c r="B4" s="14" t="s">
        <v>12</v>
      </c>
      <c r="C4" s="14" t="s">
        <v>149</v>
      </c>
      <c r="D4" s="62">
        <f>A4</f>
        <v>29</v>
      </c>
      <c r="E4" s="63" t="s">
        <v>150</v>
      </c>
      <c r="F4" s="62">
        <f>A5</f>
        <v>49</v>
      </c>
    </row>
    <row r="5" spans="1:6" ht="12.75" customHeight="1">
      <c r="A5" s="60">
        <v>49</v>
      </c>
      <c r="B5" s="14" t="s">
        <v>14</v>
      </c>
      <c r="C5" s="14" t="s">
        <v>149</v>
      </c>
      <c r="D5" s="62">
        <f>A5</f>
        <v>49</v>
      </c>
      <c r="E5" s="63" t="s">
        <v>150</v>
      </c>
      <c r="F5" s="62">
        <f>A6</f>
        <v>69</v>
      </c>
    </row>
    <row r="6" spans="1:6" ht="12.75" customHeight="1">
      <c r="A6" s="60">
        <v>69</v>
      </c>
      <c r="B6" s="14" t="s">
        <v>24</v>
      </c>
      <c r="C6" s="14" t="s">
        <v>149</v>
      </c>
      <c r="D6" s="62">
        <f>A6</f>
        <v>69</v>
      </c>
      <c r="E6" s="63" t="s">
        <v>150</v>
      </c>
      <c r="F6" s="62">
        <f>A7</f>
        <v>89</v>
      </c>
    </row>
    <row r="7" spans="1:6" ht="12.75" customHeight="1">
      <c r="A7" s="60">
        <v>89</v>
      </c>
      <c r="B7" s="14" t="s">
        <v>25</v>
      </c>
      <c r="C7" s="61" t="s">
        <v>152</v>
      </c>
      <c r="D7" s="62">
        <f>A7</f>
        <v>89</v>
      </c>
    </row>
    <row r="8" spans="1:6" ht="12.75" customHeight="1">
      <c r="A8" s="14"/>
      <c r="B8" s="14"/>
    </row>
    <row r="9" spans="1:6" ht="12.75" customHeight="1">
      <c r="A9" s="14"/>
      <c r="B9" s="14"/>
    </row>
    <row r="10" spans="1:6" ht="12.75" customHeight="1">
      <c r="A10" s="14"/>
      <c r="B10" s="14"/>
    </row>
    <row r="11" spans="1:6" ht="12.75" customHeight="1">
      <c r="A11" s="14"/>
      <c r="B11" s="14"/>
    </row>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Valoración Usabilidad</vt:lpstr>
      <vt:lpstr>Usability scores</vt:lpstr>
      <vt:lpstr>Usability guidelines</vt:lpstr>
      <vt:lpstr>Rating ranges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Turner</dc:creator>
  <cp:lastModifiedBy>ruben callejas</cp:lastModifiedBy>
  <dcterms:created xsi:type="dcterms:W3CDTF">2008-01-21T11:46:15Z</dcterms:created>
  <dcterms:modified xsi:type="dcterms:W3CDTF">2026-03-17T22:28:30Z</dcterms:modified>
</cp:coreProperties>
</file>